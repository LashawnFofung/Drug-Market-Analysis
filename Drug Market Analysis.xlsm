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defaultThemeVersion="202300"/>
  <mc:AlternateContent xmlns:mc="http://schemas.openxmlformats.org/markup-compatibility/2006">
    <mc:Choice Requires="x15">
      <x15ac:absPath xmlns:x15ac="http://schemas.microsoft.com/office/spreadsheetml/2010/11/ac" url="/Users/lashawnfofung/Documents/IT Resume &amp; Transcript/Portfolio/Projects/Drug Market Analysis/"/>
    </mc:Choice>
  </mc:AlternateContent>
  <xr:revisionPtr revIDLastSave="0" documentId="13_ncr:1_{3FA11BBD-0A39-7343-95BD-5FE4AE63B7B5}" xr6:coauthVersionLast="47" xr6:coauthVersionMax="47" xr10:uidLastSave="{00000000-0000-0000-0000-000000000000}"/>
  <bookViews>
    <workbookView xWindow="0" yWindow="500" windowWidth="28800" windowHeight="17500" activeTab="2" xr2:uid="{DEBB5BFF-A196-2747-BF75-4272A568BD37}"/>
  </bookViews>
  <sheets>
    <sheet name="Drug Line Values" sheetId="1" r:id="rId1"/>
    <sheet name="Expected Earned Value" sheetId="2" r:id="rId2"/>
    <sheet name="Decision Tree Analysis" sheetId="4" r:id="rId3"/>
    <sheet name="Data Source"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0" i="2" l="1"/>
  <c r="C29" i="2"/>
  <c r="D29" i="2" s="1"/>
  <c r="C20" i="2"/>
  <c r="C19" i="2"/>
  <c r="C10" i="2"/>
  <c r="C9" i="2"/>
  <c r="D9" i="2" s="1"/>
  <c r="I5" i="1"/>
  <c r="J5" i="1" s="1"/>
  <c r="E5" i="1"/>
  <c r="F5" i="1" s="1"/>
  <c r="I4" i="1"/>
  <c r="J4" i="1" s="1"/>
  <c r="E4" i="1"/>
  <c r="F4" i="1" s="1"/>
  <c r="K4" i="1" s="1"/>
  <c r="I3" i="1"/>
  <c r="J3" i="1" s="1"/>
  <c r="E3" i="1"/>
  <c r="F3" i="1" s="1"/>
  <c r="D19" i="2" l="1"/>
  <c r="K3" i="1"/>
  <c r="K5" i="1"/>
</calcChain>
</file>

<file path=xl/sharedStrings.xml><?xml version="1.0" encoding="utf-8"?>
<sst xmlns="http://schemas.openxmlformats.org/spreadsheetml/2006/main" count="66" uniqueCount="29">
  <si>
    <t>Profit (per unit)</t>
  </si>
  <si>
    <t>Favorable Demand (units/month)</t>
  </si>
  <si>
    <t>Favorable Probability</t>
  </si>
  <si>
    <t>Favorable Payoffs</t>
  </si>
  <si>
    <t>Favorable Expected Value</t>
  </si>
  <si>
    <t>Unfavorable Demand (units/month)</t>
  </si>
  <si>
    <t>Unfavorable Probability</t>
  </si>
  <si>
    <t>Unfavorable Payoffs</t>
  </si>
  <si>
    <t>Unfavorable Expected Value</t>
  </si>
  <si>
    <t>Final Expected Value</t>
  </si>
  <si>
    <t>New Drug Line</t>
  </si>
  <si>
    <t>Existing Drug Line</t>
  </si>
  <si>
    <t>No Change</t>
  </si>
  <si>
    <t>DMA Competitive Research</t>
  </si>
  <si>
    <t>NEW DRUG LINE</t>
  </si>
  <si>
    <t>State of Nature</t>
  </si>
  <si>
    <t>Value</t>
  </si>
  <si>
    <t>Expected Value (EV)</t>
  </si>
  <si>
    <t>Probability</t>
  </si>
  <si>
    <t>Favorable</t>
  </si>
  <si>
    <t>Decision tree analysis indicates that the "Existing Drug Line" strategy has the highest Final Earned Value ($3,870.02) among the evaluated options (New Drug Line: $2,763.08; No Change: $868.39). This suggests it is the most financially advantageous strategy based on the assessed probabilities and payoffs of favorable and unfavorable market responses. Prioritizing the existing drug line is therefore the recommended course of action based on expected financial returns.</t>
  </si>
  <si>
    <t>Payoff</t>
  </si>
  <si>
    <t>Unfavorable</t>
  </si>
  <si>
    <t>Calculation for Expected Value (EV)</t>
  </si>
  <si>
    <t>EXISTING DRUG LINE</t>
  </si>
  <si>
    <t>NO CHANGE</t>
  </si>
  <si>
    <t>Source</t>
  </si>
  <si>
    <t>Western Governors University</t>
  </si>
  <si>
    <t xml:space="preserve">  Data Source
This dataset was provided by **Western Governors University (WGU)** for academic and educational purposes as part of the [Data-Driven Decision Making course]. It is intended for internal use within the WGU academic environment and this portfolio piece demonstrates its utilization in a project.
**Important Note:** This dataset may contain simulated or anonymized data for learning purposes. It is not intended for commercial use or distribution beyond this academic 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</si>
</sst>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164" formatCode="&quot;$&quot;#,##0.00"/>
  </numFmts>
  <fonts count="16" x14ac:knownFonts="1">
    <font>
      <sz val="12"/>
      <color theme="1"/>
      <name val="Aptos Narrow"/>
      <family val="2"/>
      <scheme val="minor"/>
    </font>
    <font>
      <sz val="12"/>
      <color theme="1"/>
      <name val="Aptos Narrow"/>
      <family val="2"/>
      <scheme val="minor"/>
    </font>
    <font>
      <b/>
      <sz val="12"/>
      <color theme="1"/>
      <name val="Aptos Narrow"/>
      <family val="2"/>
      <scheme val="minor"/>
    </font>
    <font>
      <sz val="11"/>
      <color theme="1"/>
      <name val="Aptos Narrow"/>
      <family val="2"/>
      <scheme val="minor"/>
    </font>
    <font>
      <b/>
      <sz val="14"/>
      <color theme="1"/>
      <name val="Aptos Narrow"/>
      <family val="2"/>
      <scheme val="minor"/>
    </font>
    <font>
      <b/>
      <sz val="11"/>
      <color theme="1"/>
      <name val="Aptos Narrow"/>
      <family val="2"/>
      <scheme val="minor"/>
    </font>
    <font>
      <b/>
      <sz val="12"/>
      <color theme="1"/>
      <name val="Aptos Narrow"/>
      <scheme val="minor"/>
    </font>
    <font>
      <b/>
      <sz val="11"/>
      <color rgb="FF000000"/>
      <name val="Calibri"/>
      <family val="2"/>
    </font>
    <font>
      <b/>
      <u/>
      <sz val="11"/>
      <color theme="1"/>
      <name val="Aptos Narrow"/>
      <family val="2"/>
      <scheme val="minor"/>
    </font>
    <font>
      <b/>
      <sz val="11"/>
      <color theme="0"/>
      <name val="Calibri"/>
      <family val="2"/>
    </font>
    <font>
      <b/>
      <sz val="14"/>
      <color rgb="FF0070C0"/>
      <name val="Aptos Narrow"/>
      <family val="2"/>
      <scheme val="minor"/>
    </font>
    <font>
      <sz val="11"/>
      <color rgb="FF000000"/>
      <name val="Calibri"/>
      <family val="2"/>
    </font>
    <font>
      <b/>
      <i/>
      <sz val="11"/>
      <color theme="1"/>
      <name val="Calibri"/>
      <family val="2"/>
    </font>
    <font>
      <b/>
      <sz val="11"/>
      <color theme="1"/>
      <name val="Calibri"/>
      <family val="2"/>
    </font>
    <font>
      <b/>
      <i/>
      <sz val="11"/>
      <color rgb="FF000000"/>
      <name val="Calibri"/>
      <family val="2"/>
    </font>
    <font>
      <b/>
      <sz val="11"/>
      <color theme="0"/>
      <name val="Aptos Narrow"/>
      <family val="2"/>
      <scheme val="minor"/>
    </font>
  </fonts>
  <fills count="7">
    <fill>
      <patternFill patternType="none"/>
    </fill>
    <fill>
      <patternFill patternType="gray125"/>
    </fill>
    <fill>
      <patternFill patternType="solid">
        <fgColor theme="2" tint="-0.499984740745262"/>
        <bgColor indexed="64"/>
      </patternFill>
    </fill>
    <fill>
      <patternFill patternType="solid">
        <fgColor rgb="FF4F81BD"/>
        <bgColor indexed="64"/>
      </patternFill>
    </fill>
    <fill>
      <patternFill patternType="solid">
        <fgColor rgb="FF17375E"/>
        <bgColor indexed="64"/>
      </patternFill>
    </fill>
    <fill>
      <patternFill patternType="solid">
        <fgColor rgb="FF93A9CF"/>
        <bgColor indexed="64"/>
      </patternFill>
    </fill>
    <fill>
      <patternFill patternType="solid">
        <fgColor rgb="FF4572A7"/>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cellStyleXfs>
  <cellXfs count="71">
    <xf numFmtId="0" fontId="0" fillId="0" borderId="0" xfId="0"/>
    <xf numFmtId="0" fontId="4" fillId="0" borderId="1" xfId="3" applyFont="1" applyBorder="1"/>
    <xf numFmtId="0" fontId="2" fillId="0" borderId="1" xfId="3" applyFont="1" applyBorder="1" applyAlignment="1">
      <alignment horizontal="center" vertical="center" wrapText="1"/>
    </xf>
    <xf numFmtId="0" fontId="5" fillId="0" borderId="1" xfId="3" applyFont="1" applyBorder="1" applyAlignment="1">
      <alignment horizontal="center" vertical="center" wrapText="1"/>
    </xf>
    <xf numFmtId="44" fontId="1" fillId="0" borderId="1" xfId="1" applyFont="1" applyBorder="1"/>
    <xf numFmtId="0" fontId="1" fillId="0" borderId="1" xfId="2" applyNumberFormat="1" applyFont="1" applyBorder="1"/>
    <xf numFmtId="9" fontId="1" fillId="0" borderId="1" xfId="2" applyFont="1" applyBorder="1"/>
    <xf numFmtId="44" fontId="1" fillId="0" borderId="1" xfId="3" applyNumberFormat="1" applyFont="1" applyBorder="1"/>
    <xf numFmtId="0" fontId="1" fillId="0" borderId="1" xfId="3" applyFont="1" applyBorder="1"/>
    <xf numFmtId="44" fontId="3" fillId="0" borderId="1" xfId="3" applyNumberFormat="1" applyBorder="1"/>
    <xf numFmtId="0" fontId="3" fillId="0" borderId="0" xfId="3"/>
    <xf numFmtId="0" fontId="10" fillId="0" borderId="0" xfId="3" applyFont="1" applyAlignment="1">
      <alignment wrapText="1"/>
    </xf>
    <xf numFmtId="0" fontId="7" fillId="0" borderId="8" xfId="3" applyFont="1" applyBorder="1" applyAlignment="1" applyProtection="1">
      <alignment horizontal="left" vertical="center"/>
      <protection locked="0"/>
    </xf>
    <xf numFmtId="0" fontId="7" fillId="0" borderId="1" xfId="3" applyFont="1" applyBorder="1" applyAlignment="1" applyProtection="1">
      <alignment horizontal="center" vertical="center"/>
      <protection locked="0"/>
    </xf>
    <xf numFmtId="8" fontId="7" fillId="0" borderId="9" xfId="3" applyNumberFormat="1" applyFont="1" applyBorder="1" applyAlignment="1" applyProtection="1">
      <alignment horizontal="center" vertical="center"/>
      <protection locked="0"/>
    </xf>
    <xf numFmtId="0" fontId="10" fillId="0" borderId="0" xfId="3" applyFont="1" applyAlignment="1">
      <alignment horizontal="center" wrapText="1"/>
    </xf>
    <xf numFmtId="0" fontId="11" fillId="0" borderId="8" xfId="3" applyFont="1" applyBorder="1" applyAlignment="1" applyProtection="1">
      <alignment horizontal="left" vertical="center"/>
      <protection locked="0"/>
    </xf>
    <xf numFmtId="164" fontId="11" fillId="0" borderId="1" xfId="3" applyNumberFormat="1" applyFont="1" applyBorder="1" applyAlignment="1" applyProtection="1">
      <alignment horizontal="center" vertical="center"/>
      <protection locked="0"/>
    </xf>
    <xf numFmtId="8" fontId="11" fillId="0" borderId="9" xfId="3" applyNumberFormat="1" applyFont="1" applyBorder="1" applyAlignment="1" applyProtection="1">
      <alignment horizontal="center" vertical="center"/>
      <protection locked="0"/>
    </xf>
    <xf numFmtId="0" fontId="3" fillId="0" borderId="0" xfId="3" applyAlignment="1">
      <alignment vertical="top" wrapText="1"/>
    </xf>
    <xf numFmtId="0" fontId="11" fillId="2" borderId="8" xfId="3" applyFont="1" applyFill="1" applyBorder="1" applyProtection="1">
      <protection locked="0"/>
    </xf>
    <xf numFmtId="164" fontId="11" fillId="2" borderId="1" xfId="3" applyNumberFormat="1" applyFont="1" applyFill="1" applyBorder="1" applyProtection="1">
      <protection locked="0"/>
    </xf>
    <xf numFmtId="0" fontId="11" fillId="2" borderId="12" xfId="3" applyFont="1" applyFill="1" applyBorder="1" applyProtection="1">
      <protection locked="0"/>
    </xf>
    <xf numFmtId="0" fontId="11" fillId="2" borderId="1" xfId="3" applyFont="1" applyFill="1" applyBorder="1" applyProtection="1">
      <protection locked="0"/>
    </xf>
    <xf numFmtId="0" fontId="3" fillId="0" borderId="0" xfId="3" applyAlignment="1">
      <alignment horizontal="center" wrapText="1"/>
    </xf>
    <xf numFmtId="0" fontId="8" fillId="0" borderId="0" xfId="3" applyFont="1"/>
    <xf numFmtId="0" fontId="9" fillId="0" borderId="8" xfId="3" applyFont="1" applyBorder="1" applyProtection="1">
      <protection locked="0"/>
    </xf>
    <xf numFmtId="0" fontId="9" fillId="0" borderId="1" xfId="3" applyFont="1" applyBorder="1" applyAlignment="1" applyProtection="1">
      <alignment horizontal="center" vertical="center"/>
      <protection locked="0"/>
    </xf>
    <xf numFmtId="8" fontId="9" fillId="0" borderId="9" xfId="1" applyNumberFormat="1" applyFont="1" applyFill="1" applyBorder="1" applyAlignment="1" applyProtection="1">
      <alignment horizontal="center" vertical="center"/>
      <protection locked="0"/>
    </xf>
    <xf numFmtId="0" fontId="11" fillId="0" borderId="8" xfId="3" applyFont="1" applyBorder="1" applyProtection="1">
      <protection locked="0"/>
    </xf>
    <xf numFmtId="0" fontId="5" fillId="0" borderId="0" xfId="3" applyFont="1"/>
    <xf numFmtId="8" fontId="9" fillId="0" borderId="9" xfId="3" applyNumberFormat="1" applyFont="1" applyBorder="1" applyAlignment="1" applyProtection="1">
      <alignment horizontal="center" vertical="center"/>
      <protection locked="0"/>
    </xf>
    <xf numFmtId="0" fontId="13" fillId="0" borderId="1" xfId="3" applyFont="1" applyBorder="1" applyAlignment="1" applyProtection="1">
      <alignment horizontal="center" vertical="center"/>
      <protection locked="0"/>
    </xf>
    <xf numFmtId="164" fontId="13" fillId="0" borderId="1" xfId="3" applyNumberFormat="1" applyFont="1" applyBorder="1" applyAlignment="1" applyProtection="1">
      <alignment horizontal="center" vertical="center"/>
      <protection locked="0"/>
    </xf>
    <xf numFmtId="164" fontId="7" fillId="0" borderId="1" xfId="3" applyNumberFormat="1" applyFont="1" applyBorder="1" applyAlignment="1" applyProtection="1">
      <alignment horizontal="center" vertical="center"/>
      <protection locked="0"/>
    </xf>
    <xf numFmtId="0" fontId="9" fillId="3" borderId="1" xfId="3" applyFont="1" applyFill="1" applyBorder="1" applyAlignment="1" applyProtection="1">
      <alignment horizontal="center" vertical="center"/>
      <protection locked="0"/>
    </xf>
    <xf numFmtId="0" fontId="9" fillId="4" borderId="1" xfId="3" applyFont="1" applyFill="1" applyBorder="1" applyAlignment="1" applyProtection="1">
      <alignment horizontal="center" vertical="center"/>
      <protection locked="0"/>
    </xf>
    <xf numFmtId="0" fontId="9" fillId="4" borderId="4" xfId="3" applyFont="1" applyFill="1" applyBorder="1" applyAlignment="1" applyProtection="1">
      <alignment horizontal="left" vertical="center"/>
      <protection locked="0"/>
    </xf>
    <xf numFmtId="0" fontId="9" fillId="4" borderId="5" xfId="3" applyFont="1" applyFill="1" applyBorder="1" applyAlignment="1" applyProtection="1">
      <alignment horizontal="center" vertical="center"/>
      <protection locked="0"/>
    </xf>
    <xf numFmtId="0" fontId="9" fillId="4" borderId="6" xfId="3" applyFont="1" applyFill="1" applyBorder="1" applyAlignment="1" applyProtection="1">
      <alignment horizontal="center" vertical="center"/>
      <protection locked="0"/>
    </xf>
    <xf numFmtId="0" fontId="9" fillId="3" borderId="8" xfId="3" applyFont="1" applyFill="1" applyBorder="1" applyAlignment="1" applyProtection="1">
      <alignment horizontal="left" vertical="center"/>
      <protection locked="0"/>
    </xf>
    <xf numFmtId="9" fontId="9" fillId="3" borderId="9" xfId="2" applyFont="1" applyFill="1" applyBorder="1" applyAlignment="1" applyProtection="1">
      <alignment horizontal="center" vertical="center"/>
      <protection locked="0"/>
    </xf>
    <xf numFmtId="8" fontId="9" fillId="3" borderId="9" xfId="3" applyNumberFormat="1" applyFont="1" applyFill="1" applyBorder="1" applyAlignment="1" applyProtection="1">
      <alignment horizontal="center" vertical="center"/>
      <protection locked="0"/>
    </xf>
    <xf numFmtId="0" fontId="9" fillId="3" borderId="8" xfId="3" applyFont="1" applyFill="1" applyBorder="1" applyProtection="1">
      <protection locked="0"/>
    </xf>
    <xf numFmtId="8" fontId="9" fillId="3" borderId="9" xfId="1" applyNumberFormat="1" applyFont="1" applyFill="1" applyBorder="1" applyAlignment="1" applyProtection="1">
      <alignment horizontal="center" vertical="center"/>
      <protection locked="0"/>
    </xf>
    <xf numFmtId="0" fontId="9" fillId="4" borderId="8" xfId="3" applyFont="1" applyFill="1" applyBorder="1" applyAlignment="1" applyProtection="1">
      <alignment vertical="center"/>
      <protection locked="0"/>
    </xf>
    <xf numFmtId="0" fontId="9" fillId="4" borderId="9" xfId="3" applyFont="1" applyFill="1" applyBorder="1" applyAlignment="1" applyProtection="1">
      <alignment horizontal="center" vertical="center"/>
      <protection locked="0"/>
    </xf>
    <xf numFmtId="0" fontId="9" fillId="5" borderId="8" xfId="3" applyFont="1" applyFill="1" applyBorder="1" applyAlignment="1" applyProtection="1">
      <alignment horizontal="left" vertical="center"/>
      <protection locked="0"/>
    </xf>
    <xf numFmtId="164" fontId="9" fillId="5" borderId="1" xfId="3" applyNumberFormat="1" applyFont="1" applyFill="1" applyBorder="1" applyAlignment="1" applyProtection="1">
      <alignment horizontal="center" vertical="center"/>
      <protection locked="0"/>
    </xf>
    <xf numFmtId="9" fontId="9" fillId="5" borderId="9" xfId="3" applyNumberFormat="1" applyFont="1" applyFill="1" applyBorder="1" applyAlignment="1" applyProtection="1">
      <alignment horizontal="center" vertical="center"/>
      <protection locked="0"/>
    </xf>
    <xf numFmtId="8" fontId="9" fillId="5" borderId="9" xfId="3" applyNumberFormat="1" applyFont="1" applyFill="1" applyBorder="1" applyAlignment="1" applyProtection="1">
      <alignment horizontal="center" vertical="center"/>
      <protection locked="0"/>
    </xf>
    <xf numFmtId="0" fontId="9" fillId="5" borderId="8" xfId="3" applyFont="1" applyFill="1" applyBorder="1" applyProtection="1">
      <protection locked="0"/>
    </xf>
    <xf numFmtId="0" fontId="12" fillId="0" borderId="8" xfId="3" applyFont="1" applyBorder="1" applyAlignment="1" applyProtection="1">
      <alignment horizontal="left" vertical="center"/>
      <protection locked="0"/>
    </xf>
    <xf numFmtId="0" fontId="14" fillId="0" borderId="8" xfId="3" applyFont="1" applyBorder="1" applyProtection="1">
      <protection locked="0"/>
    </xf>
    <xf numFmtId="0" fontId="14" fillId="0" borderId="13" xfId="3" applyFont="1" applyBorder="1" applyProtection="1">
      <protection locked="0"/>
    </xf>
    <xf numFmtId="164" fontId="7" fillId="0" borderId="14" xfId="3" applyNumberFormat="1" applyFont="1" applyBorder="1" applyAlignment="1" applyProtection="1">
      <alignment horizontal="center" vertical="center"/>
      <protection locked="0"/>
    </xf>
    <xf numFmtId="8" fontId="7" fillId="0" borderId="15" xfId="3" applyNumberFormat="1" applyFont="1" applyBorder="1" applyAlignment="1" applyProtection="1">
      <alignment horizontal="center" vertical="center"/>
      <protection locked="0"/>
    </xf>
    <xf numFmtId="0" fontId="6" fillId="0" borderId="0" xfId="0" applyFont="1"/>
    <xf numFmtId="0" fontId="0" fillId="0" borderId="0" xfId="0" applyAlignment="1">
      <alignment wrapText="1"/>
    </xf>
    <xf numFmtId="0" fontId="0" fillId="0" borderId="0" xfId="0" applyAlignment="1">
      <alignment horizontal="left" vertical="center"/>
    </xf>
    <xf numFmtId="0" fontId="6" fillId="0" borderId="2" xfId="0" applyFont="1" applyBorder="1" applyAlignment="1">
      <alignment horizontal="center" vertical="center"/>
    </xf>
    <xf numFmtId="8" fontId="15" fillId="6" borderId="3" xfId="3" applyNumberFormat="1" applyFont="1" applyFill="1" applyBorder="1" applyAlignment="1">
      <alignment horizontal="center" vertical="center"/>
    </xf>
    <xf numFmtId="0" fontId="15" fillId="6" borderId="17" xfId="3" applyFont="1" applyFill="1" applyBorder="1" applyAlignment="1">
      <alignment horizontal="center" vertical="center"/>
    </xf>
    <xf numFmtId="0" fontId="15" fillId="4" borderId="16" xfId="3" applyFont="1" applyFill="1" applyBorder="1" applyAlignment="1">
      <alignment horizontal="center" vertical="center"/>
    </xf>
    <xf numFmtId="0" fontId="15" fillId="4" borderId="10" xfId="3" applyFont="1" applyFill="1" applyBorder="1" applyAlignment="1">
      <alignment horizontal="center" vertical="center"/>
    </xf>
    <xf numFmtId="0" fontId="15" fillId="4" borderId="11" xfId="3" applyFont="1" applyFill="1" applyBorder="1" applyAlignment="1">
      <alignment horizontal="center" vertical="center"/>
    </xf>
    <xf numFmtId="0" fontId="15" fillId="6" borderId="11" xfId="3" applyFont="1" applyFill="1" applyBorder="1" applyAlignment="1">
      <alignment horizontal="center" vertical="center"/>
    </xf>
    <xf numFmtId="0" fontId="3" fillId="0" borderId="7" xfId="3" applyBorder="1" applyAlignment="1">
      <alignment horizontal="left" vertical="center" wrapText="1"/>
    </xf>
    <xf numFmtId="0" fontId="15" fillId="4" borderId="3" xfId="3" applyFont="1" applyFill="1" applyBorder="1" applyAlignment="1">
      <alignment horizontal="center" vertical="center"/>
    </xf>
    <xf numFmtId="0" fontId="2" fillId="0" borderId="0" xfId="3" applyFont="1" applyAlignment="1">
      <alignment horizontal="center" vertical="center" wrapText="1"/>
    </xf>
    <xf numFmtId="0" fontId="5" fillId="0" borderId="0" xfId="3" applyFont="1" applyAlignment="1">
      <alignment horizontal="center" vertical="center" wrapText="1"/>
    </xf>
  </cellXfs>
  <cellStyles count="4">
    <cellStyle name="Currency" xfId="1" builtinId="4"/>
    <cellStyle name="Normal" xfId="0" builtinId="0"/>
    <cellStyle name="Normal 2" xfId="3" xr:uid="{89A0A23E-F1B4-0D4B-B015-D5472E757868}"/>
    <cellStyle name="Percent" xfId="2" builtinId="5"/>
  </cellStyles>
  <dxfs count="0"/>
  <tableStyles count="0" defaultTableStyle="TableStyleMedium2" defaultPivotStyle="PivotStyleLight16"/>
  <colors>
    <mruColors>
      <color rgb="FF93A9CF"/>
      <color rgb="FF4572A7"/>
      <color rgb="FF17375E"/>
      <color rgb="FF4F81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822537</xdr:colOff>
      <xdr:row>28</xdr:row>
      <xdr:rowOff>20952</xdr:rowOff>
    </xdr:from>
    <xdr:to>
      <xdr:col>14</xdr:col>
      <xdr:colOff>133141</xdr:colOff>
      <xdr:row>30</xdr:row>
      <xdr:rowOff>69554</xdr:rowOff>
    </xdr:to>
    <xdr:sp macro="" textlink="">
      <xdr:nvSpPr>
        <xdr:cNvPr id="2" name="Freeform 1">
          <a:extLst>
            <a:ext uri="{FF2B5EF4-FFF2-40B4-BE49-F238E27FC236}">
              <a16:creationId xmlns:a16="http://schemas.microsoft.com/office/drawing/2014/main" id="{30B9CEF1-D019-AB4E-B37B-2205BBB4E0F9}"/>
            </a:ext>
          </a:extLst>
        </xdr:cNvPr>
        <xdr:cNvSpPr>
          <a:spLocks/>
        </xdr:cNvSpPr>
      </xdr:nvSpPr>
      <xdr:spPr bwMode="auto">
        <a:xfrm rot="10800000">
          <a:off x="9903037" y="7132952"/>
          <a:ext cx="1787104" cy="455002"/>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12</xdr:col>
      <xdr:colOff>83240</xdr:colOff>
      <xdr:row>25</xdr:row>
      <xdr:rowOff>4938</xdr:rowOff>
    </xdr:from>
    <xdr:to>
      <xdr:col>14</xdr:col>
      <xdr:colOff>135451</xdr:colOff>
      <xdr:row>27</xdr:row>
      <xdr:rowOff>85988</xdr:rowOff>
    </xdr:to>
    <xdr:sp macro="" textlink="">
      <xdr:nvSpPr>
        <xdr:cNvPr id="3" name="Freeform 55">
          <a:extLst>
            <a:ext uri="{FF2B5EF4-FFF2-40B4-BE49-F238E27FC236}">
              <a16:creationId xmlns:a16="http://schemas.microsoft.com/office/drawing/2014/main" id="{3B41C2C8-71E0-A84D-BE95-18407004E06A}"/>
            </a:ext>
          </a:extLst>
        </xdr:cNvPr>
        <xdr:cNvSpPr>
          <a:spLocks/>
        </xdr:cNvSpPr>
      </xdr:nvSpPr>
      <xdr:spPr bwMode="auto">
        <a:xfrm rot="10800000" flipV="1">
          <a:off x="9989240" y="6507338"/>
          <a:ext cx="1703211" cy="487450"/>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12</xdr:col>
      <xdr:colOff>322871</xdr:colOff>
      <xdr:row>16</xdr:row>
      <xdr:rowOff>59421</xdr:rowOff>
    </xdr:from>
    <xdr:to>
      <xdr:col>14</xdr:col>
      <xdr:colOff>147172</xdr:colOff>
      <xdr:row>19</xdr:row>
      <xdr:rowOff>123008</xdr:rowOff>
    </xdr:to>
    <xdr:sp macro="" textlink="">
      <xdr:nvSpPr>
        <xdr:cNvPr id="4" name="Freeform 55">
          <a:extLst>
            <a:ext uri="{FF2B5EF4-FFF2-40B4-BE49-F238E27FC236}">
              <a16:creationId xmlns:a16="http://schemas.microsoft.com/office/drawing/2014/main" id="{71805509-00F0-0D4E-8519-C1776C730A93}"/>
            </a:ext>
          </a:extLst>
        </xdr:cNvPr>
        <xdr:cNvSpPr>
          <a:spLocks/>
        </xdr:cNvSpPr>
      </xdr:nvSpPr>
      <xdr:spPr bwMode="auto">
        <a:xfrm rot="10800000" flipV="1">
          <a:off x="10228871" y="4733021"/>
          <a:ext cx="1475301" cy="673187"/>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11</xdr:col>
      <xdr:colOff>604880</xdr:colOff>
      <xdr:row>10</xdr:row>
      <xdr:rowOff>17247</xdr:rowOff>
    </xdr:from>
    <xdr:to>
      <xdr:col>14</xdr:col>
      <xdr:colOff>206055</xdr:colOff>
      <xdr:row>12</xdr:row>
      <xdr:rowOff>85859</xdr:rowOff>
    </xdr:to>
    <xdr:sp macro="" textlink="">
      <xdr:nvSpPr>
        <xdr:cNvPr id="5" name="Freeform 4">
          <a:extLst>
            <a:ext uri="{FF2B5EF4-FFF2-40B4-BE49-F238E27FC236}">
              <a16:creationId xmlns:a16="http://schemas.microsoft.com/office/drawing/2014/main" id="{4295EAA7-072B-5743-896B-EBBE746AD24C}"/>
            </a:ext>
          </a:extLst>
        </xdr:cNvPr>
        <xdr:cNvSpPr>
          <a:spLocks/>
        </xdr:cNvSpPr>
      </xdr:nvSpPr>
      <xdr:spPr bwMode="auto">
        <a:xfrm rot="10800000">
          <a:off x="9685380" y="3471647"/>
          <a:ext cx="2077675" cy="475012"/>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12</xdr:col>
      <xdr:colOff>101845</xdr:colOff>
      <xdr:row>19</xdr:row>
      <xdr:rowOff>145720</xdr:rowOff>
    </xdr:from>
    <xdr:to>
      <xdr:col>14</xdr:col>
      <xdr:colOff>148327</xdr:colOff>
      <xdr:row>22</xdr:row>
      <xdr:rowOff>79898</xdr:rowOff>
    </xdr:to>
    <xdr:sp macro="" textlink="">
      <xdr:nvSpPr>
        <xdr:cNvPr id="6" name="Freeform 5">
          <a:extLst>
            <a:ext uri="{FF2B5EF4-FFF2-40B4-BE49-F238E27FC236}">
              <a16:creationId xmlns:a16="http://schemas.microsoft.com/office/drawing/2014/main" id="{2C20448E-2556-6B4C-8B73-2AADAD9B743A}"/>
            </a:ext>
          </a:extLst>
        </xdr:cNvPr>
        <xdr:cNvSpPr>
          <a:spLocks/>
        </xdr:cNvSpPr>
      </xdr:nvSpPr>
      <xdr:spPr bwMode="auto">
        <a:xfrm rot="10800000">
          <a:off x="10007845" y="5428920"/>
          <a:ext cx="1697482" cy="543778"/>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11</xdr:col>
      <xdr:colOff>316238</xdr:colOff>
      <xdr:row>7</xdr:row>
      <xdr:rowOff>151834</xdr:rowOff>
    </xdr:from>
    <xdr:to>
      <xdr:col>14</xdr:col>
      <xdr:colOff>321510</xdr:colOff>
      <xdr:row>10</xdr:row>
      <xdr:rowOff>166958</xdr:rowOff>
    </xdr:to>
    <xdr:sp macro="" textlink="">
      <xdr:nvSpPr>
        <xdr:cNvPr id="7" name="Freeform 55">
          <a:extLst>
            <a:ext uri="{FF2B5EF4-FFF2-40B4-BE49-F238E27FC236}">
              <a16:creationId xmlns:a16="http://schemas.microsoft.com/office/drawing/2014/main" id="{8849B9FB-C46E-C444-A7F4-BEF64A0261DC}"/>
            </a:ext>
          </a:extLst>
        </xdr:cNvPr>
        <xdr:cNvSpPr>
          <a:spLocks/>
        </xdr:cNvSpPr>
      </xdr:nvSpPr>
      <xdr:spPr bwMode="auto">
        <a:xfrm rot="10800000" flipV="1">
          <a:off x="9396738" y="2996634"/>
          <a:ext cx="2481772" cy="624724"/>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522206</xdr:colOff>
      <xdr:row>2</xdr:row>
      <xdr:rowOff>0</xdr:rowOff>
    </xdr:from>
    <xdr:to>
      <xdr:col>12</xdr:col>
      <xdr:colOff>822405</xdr:colOff>
      <xdr:row>30</xdr:row>
      <xdr:rowOff>135239</xdr:rowOff>
    </xdr:to>
    <xdr:grpSp>
      <xdr:nvGrpSpPr>
        <xdr:cNvPr id="8" name="Group 7">
          <a:extLst>
            <a:ext uri="{FF2B5EF4-FFF2-40B4-BE49-F238E27FC236}">
              <a16:creationId xmlns:a16="http://schemas.microsoft.com/office/drawing/2014/main" id="{CF80A738-550E-9F42-8164-6F7C68B4D1FF}"/>
            </a:ext>
          </a:extLst>
        </xdr:cNvPr>
        <xdr:cNvGrpSpPr/>
      </xdr:nvGrpSpPr>
      <xdr:grpSpPr>
        <a:xfrm>
          <a:off x="3847297" y="415636"/>
          <a:ext cx="7608472" cy="6104239"/>
          <a:chOff x="470599" y="3924303"/>
          <a:chExt cx="19784326" cy="6161086"/>
        </a:xfrm>
      </xdr:grpSpPr>
      <xdr:grpSp>
        <xdr:nvGrpSpPr>
          <xdr:cNvPr id="9" name="Group 8">
            <a:extLst>
              <a:ext uri="{FF2B5EF4-FFF2-40B4-BE49-F238E27FC236}">
                <a16:creationId xmlns:a16="http://schemas.microsoft.com/office/drawing/2014/main" id="{AEECE7F5-E763-A132-E24A-269489B67EA3}"/>
              </a:ext>
            </a:extLst>
          </xdr:cNvPr>
          <xdr:cNvGrpSpPr>
            <a:grpSpLocks/>
          </xdr:cNvGrpSpPr>
        </xdr:nvGrpSpPr>
        <xdr:grpSpPr bwMode="auto">
          <a:xfrm>
            <a:off x="4111500" y="8531279"/>
            <a:ext cx="16142700" cy="1554110"/>
            <a:chOff x="2697" y="1550"/>
            <a:chExt cx="7687" cy="690"/>
          </a:xfrm>
        </xdr:grpSpPr>
        <xdr:sp macro="" textlink="">
          <xdr:nvSpPr>
            <xdr:cNvPr id="32" name="Freeform 94">
              <a:extLst>
                <a:ext uri="{FF2B5EF4-FFF2-40B4-BE49-F238E27FC236}">
                  <a16:creationId xmlns:a16="http://schemas.microsoft.com/office/drawing/2014/main" id="{F802EC95-B570-91B0-940E-9D0EAF07E43B}"/>
                </a:ext>
              </a:extLst>
            </xdr:cNvPr>
            <xdr:cNvSpPr>
              <a:spLocks/>
            </xdr:cNvSpPr>
          </xdr:nvSpPr>
          <xdr:spPr bwMode="auto">
            <a:xfrm>
              <a:off x="2697" y="1737"/>
              <a:ext cx="7687" cy="168"/>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
          <xdr:nvSpPr>
            <xdr:cNvPr id="33" name="Freeform 95">
              <a:extLst>
                <a:ext uri="{FF2B5EF4-FFF2-40B4-BE49-F238E27FC236}">
                  <a16:creationId xmlns:a16="http://schemas.microsoft.com/office/drawing/2014/main" id="{4AC2E2BE-3D50-FA50-5E0E-B9BA85667452}"/>
                </a:ext>
              </a:extLst>
            </xdr:cNvPr>
            <xdr:cNvSpPr>
              <a:spLocks/>
            </xdr:cNvSpPr>
          </xdr:nvSpPr>
          <xdr:spPr bwMode="auto">
            <a:xfrm flipV="1">
              <a:off x="2714" y="1946"/>
              <a:ext cx="7670" cy="294"/>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
          <xdr:nvSpPr>
            <xdr:cNvPr id="34" name="Rectangle 33">
              <a:extLst>
                <a:ext uri="{FF2B5EF4-FFF2-40B4-BE49-F238E27FC236}">
                  <a16:creationId xmlns:a16="http://schemas.microsoft.com/office/drawing/2014/main" id="{1403D1BF-0A1B-4234-F2C8-1A21738FAD06}"/>
                </a:ext>
              </a:extLst>
            </xdr:cNvPr>
            <xdr:cNvSpPr>
              <a:spLocks noChangeArrowheads="1"/>
            </xdr:cNvSpPr>
          </xdr:nvSpPr>
          <xdr:spPr bwMode="auto">
            <a:xfrm>
              <a:off x="3236" y="1550"/>
              <a:ext cx="1458" cy="18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sp macro="" textlink="">
          <xdr:nvSpPr>
            <xdr:cNvPr id="35" name="Rectangle 34">
              <a:extLst>
                <a:ext uri="{FF2B5EF4-FFF2-40B4-BE49-F238E27FC236}">
                  <a16:creationId xmlns:a16="http://schemas.microsoft.com/office/drawing/2014/main" id="{CF2F1130-A253-A7C5-6281-D4217C3DF5AA}"/>
                </a:ext>
              </a:extLst>
            </xdr:cNvPr>
            <xdr:cNvSpPr>
              <a:spLocks noChangeArrowheads="1"/>
            </xdr:cNvSpPr>
          </xdr:nvSpPr>
          <xdr:spPr bwMode="auto">
            <a:xfrm>
              <a:off x="3212" y="1929"/>
              <a:ext cx="1130" cy="18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grpSp>
      <xdr:sp macro="" textlink="">
        <xdr:nvSpPr>
          <xdr:cNvPr id="10" name="Freeform 55">
            <a:extLst>
              <a:ext uri="{FF2B5EF4-FFF2-40B4-BE49-F238E27FC236}">
                <a16:creationId xmlns:a16="http://schemas.microsoft.com/office/drawing/2014/main" id="{4CF533D7-567E-3FF3-37F2-8229B9AF0551}"/>
              </a:ext>
            </a:extLst>
          </xdr:cNvPr>
          <xdr:cNvSpPr>
            <a:spLocks/>
          </xdr:cNvSpPr>
        </xdr:nvSpPr>
        <xdr:spPr bwMode="auto">
          <a:xfrm>
            <a:off x="4374682" y="5298003"/>
            <a:ext cx="15786757" cy="305395"/>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
        <xdr:nvSpPr>
          <xdr:cNvPr id="11" name="Freeform 56">
            <a:extLst>
              <a:ext uri="{FF2B5EF4-FFF2-40B4-BE49-F238E27FC236}">
                <a16:creationId xmlns:a16="http://schemas.microsoft.com/office/drawing/2014/main" id="{918B8D1C-2707-8C07-F49B-B9022FB8A3AF}"/>
              </a:ext>
            </a:extLst>
          </xdr:cNvPr>
          <xdr:cNvSpPr>
            <a:spLocks/>
          </xdr:cNvSpPr>
        </xdr:nvSpPr>
        <xdr:spPr bwMode="auto">
          <a:xfrm flipV="1">
            <a:off x="4357134" y="5762049"/>
            <a:ext cx="15866630" cy="523045"/>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
        <xdr:nvSpPr>
          <xdr:cNvPr id="12" name="Rectangle 11">
            <a:extLst>
              <a:ext uri="{FF2B5EF4-FFF2-40B4-BE49-F238E27FC236}">
                <a16:creationId xmlns:a16="http://schemas.microsoft.com/office/drawing/2014/main" id="{38CA32CC-161C-3E52-C530-88DD2E9BF683}"/>
              </a:ext>
            </a:extLst>
          </xdr:cNvPr>
          <xdr:cNvSpPr>
            <a:spLocks noChangeArrowheads="1"/>
          </xdr:cNvSpPr>
        </xdr:nvSpPr>
        <xdr:spPr bwMode="auto">
          <a:xfrm>
            <a:off x="5073342" y="4792578"/>
            <a:ext cx="3095200" cy="5349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sp macro="" textlink="">
        <xdr:nvSpPr>
          <xdr:cNvPr id="13" name="Rectangle 12">
            <a:extLst>
              <a:ext uri="{FF2B5EF4-FFF2-40B4-BE49-F238E27FC236}">
                <a16:creationId xmlns:a16="http://schemas.microsoft.com/office/drawing/2014/main" id="{88FC664A-7C43-8468-4D94-A707B18BF0F2}"/>
              </a:ext>
            </a:extLst>
          </xdr:cNvPr>
          <xdr:cNvSpPr>
            <a:spLocks noChangeArrowheads="1"/>
          </xdr:cNvSpPr>
        </xdr:nvSpPr>
        <xdr:spPr bwMode="auto">
          <a:xfrm>
            <a:off x="5148165" y="5677334"/>
            <a:ext cx="2138575" cy="5349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sp macro="" textlink="">
        <xdr:nvSpPr>
          <xdr:cNvPr id="14" name="Freeform 51">
            <a:extLst>
              <a:ext uri="{FF2B5EF4-FFF2-40B4-BE49-F238E27FC236}">
                <a16:creationId xmlns:a16="http://schemas.microsoft.com/office/drawing/2014/main" id="{D8F5EFD0-C53B-0ED1-8CEA-D4869E1A9B73}"/>
              </a:ext>
            </a:extLst>
          </xdr:cNvPr>
          <xdr:cNvSpPr>
            <a:spLocks/>
          </xdr:cNvSpPr>
        </xdr:nvSpPr>
        <xdr:spPr bwMode="auto">
          <a:xfrm>
            <a:off x="4295773" y="7099304"/>
            <a:ext cx="15831074" cy="596900"/>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
        <xdr:nvSpPr>
          <xdr:cNvPr id="15" name="Freeform 52">
            <a:extLst>
              <a:ext uri="{FF2B5EF4-FFF2-40B4-BE49-F238E27FC236}">
                <a16:creationId xmlns:a16="http://schemas.microsoft.com/office/drawing/2014/main" id="{EAB47CDF-3B33-5C95-C35B-4ED889B11ECF}"/>
              </a:ext>
            </a:extLst>
          </xdr:cNvPr>
          <xdr:cNvSpPr>
            <a:spLocks/>
          </xdr:cNvSpPr>
        </xdr:nvSpPr>
        <xdr:spPr bwMode="auto">
          <a:xfrm flipV="1">
            <a:off x="4093875" y="7777615"/>
            <a:ext cx="16161050" cy="596900"/>
          </a:xfrm>
          <a:custGeom>
            <a:avLst/>
            <a:gdLst>
              <a:gd name="T0" fmla="*/ 0 w 2032"/>
              <a:gd name="T1" fmla="*/ 272 h 272"/>
              <a:gd name="T2" fmla="*/ 416 w 2032"/>
              <a:gd name="T3" fmla="*/ 0 h 272"/>
              <a:gd name="T4" fmla="*/ 2032 w 2032"/>
              <a:gd name="T5" fmla="*/ 0 h 272"/>
            </a:gdLst>
            <a:ahLst/>
            <a:cxnLst>
              <a:cxn ang="0">
                <a:pos x="T0" y="T1"/>
              </a:cxn>
              <a:cxn ang="0">
                <a:pos x="T2" y="T3"/>
              </a:cxn>
              <a:cxn ang="0">
                <a:pos x="T4" y="T5"/>
              </a:cxn>
            </a:cxnLst>
            <a:rect l="0" t="0" r="r" b="b"/>
            <a:pathLst>
              <a:path w="2032" h="272">
                <a:moveTo>
                  <a:pt x="0" y="272"/>
                </a:moveTo>
                <a:lnTo>
                  <a:pt x="416" y="0"/>
                </a:lnTo>
                <a:lnTo>
                  <a:pt x="2032" y="0"/>
                </a:lnTo>
              </a:path>
            </a:pathLst>
          </a:custGeom>
          <a:noFill/>
          <a:ln w="76200" cmpd="sng">
            <a:solidFill>
              <a:srgbClr val="175097"/>
            </a:solidFill>
            <a:round/>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
        <xdr:nvSpPr>
          <xdr:cNvPr id="16" name="Rectangle 15">
            <a:extLst>
              <a:ext uri="{FF2B5EF4-FFF2-40B4-BE49-F238E27FC236}">
                <a16:creationId xmlns:a16="http://schemas.microsoft.com/office/drawing/2014/main" id="{A008622A-6D45-FE63-0A72-10CFB69AB809}"/>
              </a:ext>
            </a:extLst>
          </xdr:cNvPr>
          <xdr:cNvSpPr>
            <a:spLocks noChangeArrowheads="1"/>
          </xdr:cNvSpPr>
        </xdr:nvSpPr>
        <xdr:spPr bwMode="auto">
          <a:xfrm>
            <a:off x="5159031" y="6705388"/>
            <a:ext cx="2784475" cy="5349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sp macro="" textlink="">
        <xdr:nvSpPr>
          <xdr:cNvPr id="17" name="Rectangle 16">
            <a:extLst>
              <a:ext uri="{FF2B5EF4-FFF2-40B4-BE49-F238E27FC236}">
                <a16:creationId xmlns:a16="http://schemas.microsoft.com/office/drawing/2014/main" id="{BAEEAA0B-5133-F2E0-BB6E-A147D71217A7}"/>
              </a:ext>
            </a:extLst>
          </xdr:cNvPr>
          <xdr:cNvSpPr>
            <a:spLocks noChangeArrowheads="1"/>
          </xdr:cNvSpPr>
        </xdr:nvSpPr>
        <xdr:spPr bwMode="auto">
          <a:xfrm>
            <a:off x="5196902" y="7552526"/>
            <a:ext cx="2209801" cy="5349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sp macro="" textlink="">
        <xdr:nvSpPr>
          <xdr:cNvPr id="18" name="Line 14">
            <a:extLst>
              <a:ext uri="{FF2B5EF4-FFF2-40B4-BE49-F238E27FC236}">
                <a16:creationId xmlns:a16="http://schemas.microsoft.com/office/drawing/2014/main" id="{932371C7-5040-82F9-7DD8-9E673607A853}"/>
              </a:ext>
            </a:extLst>
          </xdr:cNvPr>
          <xdr:cNvSpPr>
            <a:spLocks noChangeShapeType="1"/>
          </xdr:cNvSpPr>
        </xdr:nvSpPr>
        <xdr:spPr bwMode="auto">
          <a:xfrm>
            <a:off x="1295400" y="7651750"/>
            <a:ext cx="3025775" cy="21849"/>
          </a:xfrm>
          <a:prstGeom prst="line">
            <a:avLst/>
          </a:prstGeom>
          <a:noFill/>
          <a:ln w="76200">
            <a:solidFill>
              <a:srgbClr val="175097"/>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REF!">
        <xdr:nvSpPr>
          <xdr:cNvPr id="19" name="Rectangle 18">
            <a:extLst>
              <a:ext uri="{FF2B5EF4-FFF2-40B4-BE49-F238E27FC236}">
                <a16:creationId xmlns:a16="http://schemas.microsoft.com/office/drawing/2014/main" id="{456E4E2B-8517-5FBD-5B4E-E168D954084A}"/>
              </a:ext>
            </a:extLst>
          </xdr:cNvPr>
          <xdr:cNvSpPr>
            <a:spLocks noChangeArrowheads="1"/>
          </xdr:cNvSpPr>
        </xdr:nvSpPr>
        <xdr:spPr bwMode="auto">
          <a:xfrm>
            <a:off x="1858652" y="7098023"/>
            <a:ext cx="2190750" cy="75564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ct val="85000"/>
              </a:lnSpc>
            </a:pPr>
            <a:fld id="{4CB05F98-01C1-45A5-BEA9-40000FA5D398}" type="TxLink">
              <a:rPr lang="en-US" sz="1200" b="1" i="0" u="none" strike="noStrike">
                <a:solidFill>
                  <a:srgbClr val="000000"/>
                </a:solidFill>
                <a:latin typeface="Calibri"/>
                <a:cs typeface="Calibri"/>
              </a:rPr>
              <a:pPr algn="ctr">
                <a:lnSpc>
                  <a:spcPct val="85000"/>
                </a:lnSpc>
              </a:pPr>
              <a:t> </a:t>
            </a:fld>
            <a:endParaRPr lang="en-US" sz="1600" b="1"/>
          </a:p>
        </xdr:txBody>
      </xdr:sp>
      <xdr:sp macro="" textlink="#REF!">
        <xdr:nvSpPr>
          <xdr:cNvPr id="20" name="Rectangle 19">
            <a:extLst>
              <a:ext uri="{FF2B5EF4-FFF2-40B4-BE49-F238E27FC236}">
                <a16:creationId xmlns:a16="http://schemas.microsoft.com/office/drawing/2014/main" id="{1C93369D-4A77-96D6-5E64-F53343F5A294}"/>
              </a:ext>
            </a:extLst>
          </xdr:cNvPr>
          <xdr:cNvSpPr>
            <a:spLocks noChangeArrowheads="1"/>
          </xdr:cNvSpPr>
        </xdr:nvSpPr>
        <xdr:spPr bwMode="auto">
          <a:xfrm rot="1980983">
            <a:off x="2228694" y="8422297"/>
            <a:ext cx="2168526" cy="5349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fld id="{17DF0AAE-62FC-4708-AA44-0045925685B0}" type="TxLink">
              <a:rPr lang="en-US" sz="1200" b="1" i="0" u="none" strike="noStrike">
                <a:solidFill>
                  <a:srgbClr val="000000"/>
                </a:solidFill>
                <a:latin typeface="Calibri"/>
                <a:cs typeface="Calibri"/>
              </a:rPr>
              <a:pPr/>
              <a:t> </a:t>
            </a:fld>
            <a:endParaRPr lang="en-US" sz="1600" b="1"/>
          </a:p>
        </xdr:txBody>
      </xdr:sp>
      <xdr:sp macro="" textlink="">
        <xdr:nvSpPr>
          <xdr:cNvPr id="21" name="Rectangle 20">
            <a:extLst>
              <a:ext uri="{FF2B5EF4-FFF2-40B4-BE49-F238E27FC236}">
                <a16:creationId xmlns:a16="http://schemas.microsoft.com/office/drawing/2014/main" id="{053DA88C-796C-4D44-2569-E3D17C614F27}"/>
              </a:ext>
            </a:extLst>
          </xdr:cNvPr>
          <xdr:cNvSpPr>
            <a:spLocks noChangeArrowheads="1"/>
          </xdr:cNvSpPr>
        </xdr:nvSpPr>
        <xdr:spPr bwMode="auto">
          <a:xfrm>
            <a:off x="470599" y="4044302"/>
            <a:ext cx="1719725" cy="42204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sp macro="" textlink="">
        <xdr:nvSpPr>
          <xdr:cNvPr id="22" name="Rectangle 21">
            <a:extLst>
              <a:ext uri="{FF2B5EF4-FFF2-40B4-BE49-F238E27FC236}">
                <a16:creationId xmlns:a16="http://schemas.microsoft.com/office/drawing/2014/main" id="{32FF30EB-B88F-6D06-1086-9BBDC1840F4F}"/>
              </a:ext>
            </a:extLst>
          </xdr:cNvPr>
          <xdr:cNvSpPr>
            <a:spLocks noChangeArrowheads="1"/>
          </xdr:cNvSpPr>
        </xdr:nvSpPr>
        <xdr:spPr bwMode="auto">
          <a:xfrm>
            <a:off x="2334998" y="3924303"/>
            <a:ext cx="2754313" cy="42171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b="1"/>
          </a:p>
        </xdr:txBody>
      </xdr:sp>
      <xdr:grpSp>
        <xdr:nvGrpSpPr>
          <xdr:cNvPr id="23" name="Group 22">
            <a:extLst>
              <a:ext uri="{FF2B5EF4-FFF2-40B4-BE49-F238E27FC236}">
                <a16:creationId xmlns:a16="http://schemas.microsoft.com/office/drawing/2014/main" id="{97E8A0F4-DE65-91FD-2B5F-93FC4B70D835}"/>
              </a:ext>
            </a:extLst>
          </xdr:cNvPr>
          <xdr:cNvGrpSpPr>
            <a:grpSpLocks/>
          </xdr:cNvGrpSpPr>
        </xdr:nvGrpSpPr>
        <xdr:grpSpPr bwMode="auto">
          <a:xfrm>
            <a:off x="1209675" y="5180125"/>
            <a:ext cx="3194050" cy="2477974"/>
            <a:chOff x="1208" y="1734"/>
            <a:chExt cx="1740" cy="1066"/>
          </a:xfrm>
        </xdr:grpSpPr>
        <xdr:grpSp>
          <xdr:nvGrpSpPr>
            <xdr:cNvPr id="28" name="Group 27">
              <a:extLst>
                <a:ext uri="{FF2B5EF4-FFF2-40B4-BE49-F238E27FC236}">
                  <a16:creationId xmlns:a16="http://schemas.microsoft.com/office/drawing/2014/main" id="{F26E9577-9F1A-CAFD-1198-56A3EFFC62E3}"/>
                </a:ext>
              </a:extLst>
            </xdr:cNvPr>
            <xdr:cNvGrpSpPr>
              <a:grpSpLocks/>
            </xdr:cNvGrpSpPr>
          </xdr:nvGrpSpPr>
          <xdr:grpSpPr bwMode="auto">
            <a:xfrm>
              <a:off x="1208" y="2000"/>
              <a:ext cx="1512" cy="800"/>
              <a:chOff x="1208" y="2000"/>
              <a:chExt cx="1512" cy="800"/>
            </a:xfrm>
          </xdr:grpSpPr>
          <xdr:sp macro="" textlink="">
            <xdr:nvSpPr>
              <xdr:cNvPr id="30" name="Line 28">
                <a:extLst>
                  <a:ext uri="{FF2B5EF4-FFF2-40B4-BE49-F238E27FC236}">
                    <a16:creationId xmlns:a16="http://schemas.microsoft.com/office/drawing/2014/main" id="{8BDBB36C-066A-D654-B781-6CD29792FE66}"/>
                  </a:ext>
                </a:extLst>
              </xdr:cNvPr>
              <xdr:cNvSpPr>
                <a:spLocks noChangeShapeType="1"/>
              </xdr:cNvSpPr>
            </xdr:nvSpPr>
            <xdr:spPr bwMode="auto">
              <a:xfrm flipV="1">
                <a:off x="1208" y="2000"/>
                <a:ext cx="1512" cy="800"/>
              </a:xfrm>
              <a:prstGeom prst="line">
                <a:avLst/>
              </a:prstGeom>
              <a:noFill/>
              <a:ln w="76200">
                <a:solidFill>
                  <a:srgbClr val="175097"/>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REF!">
            <xdr:nvSpPr>
              <xdr:cNvPr id="31" name="Rectangle 30">
                <a:extLst>
                  <a:ext uri="{FF2B5EF4-FFF2-40B4-BE49-F238E27FC236}">
                    <a16:creationId xmlns:a16="http://schemas.microsoft.com/office/drawing/2014/main" id="{E64F33AA-B587-2E50-E0B8-05A96388B815}"/>
                  </a:ext>
                </a:extLst>
              </xdr:cNvPr>
              <xdr:cNvSpPr>
                <a:spLocks noChangeArrowheads="1"/>
              </xdr:cNvSpPr>
            </xdr:nvSpPr>
            <xdr:spPr bwMode="auto">
              <a:xfrm rot="19298486">
                <a:off x="1456" y="2213"/>
                <a:ext cx="1080" cy="18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ct val="85000"/>
                  </a:lnSpc>
                </a:pPr>
                <a:fld id="{C2A12FCF-CA14-436D-B8C7-8DB2B7A25689}" type="TxLink">
                  <a:rPr lang="en-US" sz="1200" b="1" i="0" u="none" strike="noStrike">
                    <a:solidFill>
                      <a:srgbClr val="000000"/>
                    </a:solidFill>
                    <a:latin typeface="Calibri"/>
                    <a:cs typeface="Calibri"/>
                  </a:rPr>
                  <a:pPr algn="ctr">
                    <a:lnSpc>
                      <a:spcPct val="85000"/>
                    </a:lnSpc>
                  </a:pPr>
                  <a:t> </a:t>
                </a:fld>
                <a:endParaRPr lang="en-US" sz="1600" b="1"/>
              </a:p>
            </xdr:txBody>
          </xdr:sp>
        </xdr:grpSp>
        <xdr:sp macro="" textlink="">
          <xdr:nvSpPr>
            <xdr:cNvPr id="29" name="Oval 28">
              <a:extLst>
                <a:ext uri="{FF2B5EF4-FFF2-40B4-BE49-F238E27FC236}">
                  <a16:creationId xmlns:a16="http://schemas.microsoft.com/office/drawing/2014/main" id="{1B1A918E-8BC7-6987-CF56-56C60625922F}"/>
                </a:ext>
              </a:extLst>
            </xdr:cNvPr>
            <xdr:cNvSpPr>
              <a:spLocks noChangeArrowheads="1"/>
            </xdr:cNvSpPr>
          </xdr:nvSpPr>
          <xdr:spPr bwMode="auto">
            <a:xfrm>
              <a:off x="2320" y="1734"/>
              <a:ext cx="628" cy="418"/>
            </a:xfrm>
            <a:prstGeom prst="ellipse">
              <a:avLst/>
            </a:prstGeom>
            <a:solidFill>
              <a:srgbClr val="17375E"/>
            </a:solidFill>
            <a:ln w="19050">
              <a:solidFill>
                <a:schemeClr val="tx1"/>
              </a:solidFill>
              <a:round/>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grpSp>
      <xdr:sp macro="" textlink="">
        <xdr:nvSpPr>
          <xdr:cNvPr id="24" name="Rectangle 23">
            <a:extLst>
              <a:ext uri="{FF2B5EF4-FFF2-40B4-BE49-F238E27FC236}">
                <a16:creationId xmlns:a16="http://schemas.microsoft.com/office/drawing/2014/main" id="{0265BE18-8D5E-47FC-401A-5E5033DF0E34}"/>
              </a:ext>
            </a:extLst>
          </xdr:cNvPr>
          <xdr:cNvSpPr>
            <a:spLocks noChangeArrowheads="1"/>
          </xdr:cNvSpPr>
        </xdr:nvSpPr>
        <xdr:spPr bwMode="auto">
          <a:xfrm>
            <a:off x="688975" y="7321549"/>
            <a:ext cx="533400" cy="660400"/>
          </a:xfrm>
          <a:prstGeom prst="rect">
            <a:avLst/>
          </a:prstGeom>
          <a:solidFill>
            <a:schemeClr val="folHlink"/>
          </a:solidFill>
          <a:ln w="19050">
            <a:solidFill>
              <a:schemeClr val="tx1"/>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xnSp macro="">
        <xdr:nvCxnSpPr>
          <xdr:cNvPr id="25" name="Straight Connector 24">
            <a:extLst>
              <a:ext uri="{FF2B5EF4-FFF2-40B4-BE49-F238E27FC236}">
                <a16:creationId xmlns:a16="http://schemas.microsoft.com/office/drawing/2014/main" id="{FB769DE2-4A54-1B0A-8BD4-47F6E20D6B28}"/>
              </a:ext>
            </a:extLst>
          </xdr:cNvPr>
          <xdr:cNvCxnSpPr>
            <a:stCxn id="30" idx="0"/>
          </xdr:cNvCxnSpPr>
        </xdr:nvCxnSpPr>
        <xdr:spPr>
          <a:xfrm>
            <a:off x="1209675" y="7658099"/>
            <a:ext cx="2828925" cy="1568451"/>
          </a:xfrm>
          <a:prstGeom prst="line">
            <a:avLst/>
          </a:prstGeom>
          <a:ln w="952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 name="Oval 25">
            <a:extLst>
              <a:ext uri="{FF2B5EF4-FFF2-40B4-BE49-F238E27FC236}">
                <a16:creationId xmlns:a16="http://schemas.microsoft.com/office/drawing/2014/main" id="{46B7DC9C-0A8C-F2CD-8493-037F17D75ED0}"/>
              </a:ext>
            </a:extLst>
          </xdr:cNvPr>
          <xdr:cNvSpPr>
            <a:spLocks noChangeArrowheads="1"/>
          </xdr:cNvSpPr>
        </xdr:nvSpPr>
        <xdr:spPr bwMode="auto">
          <a:xfrm>
            <a:off x="3058393" y="8869038"/>
            <a:ext cx="1263642" cy="903612"/>
          </a:xfrm>
          <a:prstGeom prst="ellipse">
            <a:avLst/>
          </a:prstGeom>
          <a:solidFill>
            <a:srgbClr val="17375E"/>
          </a:solidFill>
          <a:ln w="19050">
            <a:solidFill>
              <a:schemeClr val="tx1"/>
            </a:solidFill>
            <a:round/>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sp macro="" textlink="">
        <xdr:nvSpPr>
          <xdr:cNvPr id="27" name="Oval 26">
            <a:extLst>
              <a:ext uri="{FF2B5EF4-FFF2-40B4-BE49-F238E27FC236}">
                <a16:creationId xmlns:a16="http://schemas.microsoft.com/office/drawing/2014/main" id="{10F864CA-A3B0-0D10-BC37-5056AA7A2BA3}"/>
              </a:ext>
            </a:extLst>
          </xdr:cNvPr>
          <xdr:cNvSpPr>
            <a:spLocks noChangeArrowheads="1"/>
          </xdr:cNvSpPr>
        </xdr:nvSpPr>
        <xdr:spPr bwMode="auto">
          <a:xfrm>
            <a:off x="3146145" y="7213600"/>
            <a:ext cx="1193441" cy="901700"/>
          </a:xfrm>
          <a:prstGeom prst="ellipse">
            <a:avLst/>
          </a:prstGeom>
          <a:solidFill>
            <a:srgbClr val="17375E"/>
          </a:solidFill>
          <a:ln w="19050">
            <a:solidFill>
              <a:schemeClr val="tx1"/>
            </a:solidFill>
            <a:round/>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grpSp>
    <xdr:clientData/>
  </xdr:twoCellAnchor>
  <xdr:twoCellAnchor>
    <xdr:from>
      <xdr:col>48</xdr:col>
      <xdr:colOff>688885</xdr:colOff>
      <xdr:row>52</xdr:row>
      <xdr:rowOff>51656</xdr:rowOff>
    </xdr:from>
    <xdr:to>
      <xdr:col>71</xdr:col>
      <xdr:colOff>157438</xdr:colOff>
      <xdr:row>65</xdr:row>
      <xdr:rowOff>108597</xdr:rowOff>
    </xdr:to>
    <xdr:pic>
      <xdr:nvPicPr>
        <xdr:cNvPr id="36" name="Rectangle 31">
          <a:extLst>
            <a:ext uri="{FF2B5EF4-FFF2-40B4-BE49-F238E27FC236}">
              <a16:creationId xmlns:a16="http://schemas.microsoft.com/office/drawing/2014/main" id="{FA948B2F-D74B-9C41-AB0A-6F9AD95F63EF}"/>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312885" y="12040456"/>
          <a:ext cx="18455053" cy="2698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48</xdr:col>
      <xdr:colOff>396785</xdr:colOff>
      <xdr:row>77</xdr:row>
      <xdr:rowOff>3368</xdr:rowOff>
    </xdr:from>
    <xdr:to>
      <xdr:col>65</xdr:col>
      <xdr:colOff>658600</xdr:colOff>
      <xdr:row>89</xdr:row>
      <xdr:rowOff>54168</xdr:rowOff>
    </xdr:to>
    <xdr:pic>
      <xdr:nvPicPr>
        <xdr:cNvPr id="37" name="Rectangle 32">
          <a:extLst>
            <a:ext uri="{FF2B5EF4-FFF2-40B4-BE49-F238E27FC236}">
              <a16:creationId xmlns:a16="http://schemas.microsoft.com/office/drawing/2014/main" id="{07E118D0-C5BC-FD49-A2BC-590234DA7AF7}"/>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20785" y="17072168"/>
          <a:ext cx="14295315" cy="248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51955</xdr:colOff>
      <xdr:row>8</xdr:row>
      <xdr:rowOff>13678</xdr:rowOff>
    </xdr:from>
    <xdr:to>
      <xdr:col>6</xdr:col>
      <xdr:colOff>425901</xdr:colOff>
      <xdr:row>11</xdr:row>
      <xdr:rowOff>18920</xdr:rowOff>
    </xdr:to>
    <xdr:sp macro="" textlink="">
      <xdr:nvSpPr>
        <xdr:cNvPr id="38" name="TextBox 37">
          <a:extLst>
            <a:ext uri="{FF2B5EF4-FFF2-40B4-BE49-F238E27FC236}">
              <a16:creationId xmlns:a16="http://schemas.microsoft.com/office/drawing/2014/main" id="{442B6F05-4071-0240-9B3C-46B2230C4A4E}"/>
            </a:ext>
          </a:extLst>
        </xdr:cNvPr>
        <xdr:cNvSpPr txBox="1"/>
      </xdr:nvSpPr>
      <xdr:spPr>
        <a:xfrm>
          <a:off x="4179455" y="3061678"/>
          <a:ext cx="1199446" cy="61484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New Drug Line</a:t>
          </a:r>
          <a:r>
            <a:rPr lang="en-US" sz="1100" b="1" baseline="0"/>
            <a:t> </a:t>
          </a:r>
        </a:p>
        <a:p>
          <a:pPr algn="ctr"/>
          <a:r>
            <a:rPr lang="en-US" sz="1100"/>
            <a:t>EV = $2,763.08</a:t>
          </a:r>
        </a:p>
      </xdr:txBody>
    </xdr:sp>
    <xdr:clientData/>
  </xdr:twoCellAnchor>
  <xdr:twoCellAnchor>
    <xdr:from>
      <xdr:col>5</xdr:col>
      <xdr:colOff>476571</xdr:colOff>
      <xdr:row>17</xdr:row>
      <xdr:rowOff>189219</xdr:rowOff>
    </xdr:from>
    <xdr:to>
      <xdr:col>7</xdr:col>
      <xdr:colOff>78894</xdr:colOff>
      <xdr:row>20</xdr:row>
      <xdr:rowOff>140074</xdr:rowOff>
    </xdr:to>
    <xdr:sp macro="" textlink="">
      <xdr:nvSpPr>
        <xdr:cNvPr id="39" name="TextBox 38">
          <a:extLst>
            <a:ext uri="{FF2B5EF4-FFF2-40B4-BE49-F238E27FC236}">
              <a16:creationId xmlns:a16="http://schemas.microsoft.com/office/drawing/2014/main" id="{E8086730-2E8E-7B48-8FF4-14D9EB51F3F3}"/>
            </a:ext>
          </a:extLst>
        </xdr:cNvPr>
        <xdr:cNvSpPr txBox="1"/>
      </xdr:nvSpPr>
      <xdr:spPr>
        <a:xfrm>
          <a:off x="4604071" y="5066019"/>
          <a:ext cx="1253323" cy="56045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Existing Drug Line</a:t>
          </a:r>
          <a:r>
            <a:rPr lang="en-US" sz="1100" b="1" baseline="0"/>
            <a:t> </a:t>
          </a:r>
        </a:p>
        <a:p>
          <a:pPr algn="ctr"/>
          <a:r>
            <a:rPr lang="en-US" sz="1100"/>
            <a:t>EV = $3,870.02</a:t>
          </a:r>
        </a:p>
      </xdr:txBody>
    </xdr:sp>
    <xdr:clientData/>
  </xdr:twoCellAnchor>
  <xdr:twoCellAnchor>
    <xdr:from>
      <xdr:col>4</xdr:col>
      <xdr:colOff>812031</xdr:colOff>
      <xdr:row>25</xdr:row>
      <xdr:rowOff>158874</xdr:rowOff>
    </xdr:from>
    <xdr:to>
      <xdr:col>6</xdr:col>
      <xdr:colOff>428210</xdr:colOff>
      <xdr:row>28</xdr:row>
      <xdr:rowOff>128710</xdr:rowOff>
    </xdr:to>
    <xdr:sp macro="" textlink="">
      <xdr:nvSpPr>
        <xdr:cNvPr id="40" name="TextBox 39">
          <a:extLst>
            <a:ext uri="{FF2B5EF4-FFF2-40B4-BE49-F238E27FC236}">
              <a16:creationId xmlns:a16="http://schemas.microsoft.com/office/drawing/2014/main" id="{8EE8CAD4-4A50-A745-B9E8-F977E5773F42}"/>
            </a:ext>
          </a:extLst>
        </xdr:cNvPr>
        <xdr:cNvSpPr txBox="1"/>
      </xdr:nvSpPr>
      <xdr:spPr>
        <a:xfrm>
          <a:off x="4114031" y="6661274"/>
          <a:ext cx="1267179" cy="579436"/>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No Change</a:t>
          </a:r>
          <a:endParaRPr lang="en-US" sz="1100" b="1" baseline="0"/>
        </a:p>
        <a:p>
          <a:pPr algn="ctr"/>
          <a:r>
            <a:rPr lang="en-US" sz="1100"/>
            <a:t>EV = $868.39</a:t>
          </a:r>
        </a:p>
      </xdr:txBody>
    </xdr:sp>
    <xdr:clientData/>
  </xdr:twoCellAnchor>
  <xdr:twoCellAnchor>
    <xdr:from>
      <xdr:col>4</xdr:col>
      <xdr:colOff>0</xdr:colOff>
      <xdr:row>16</xdr:row>
      <xdr:rowOff>195400</xdr:rowOff>
    </xdr:from>
    <xdr:to>
      <xdr:col>4</xdr:col>
      <xdr:colOff>818444</xdr:colOff>
      <xdr:row>21</xdr:row>
      <xdr:rowOff>19878</xdr:rowOff>
    </xdr:to>
    <xdr:sp macro="" textlink="">
      <xdr:nvSpPr>
        <xdr:cNvPr id="41" name="TextBox 40">
          <a:extLst>
            <a:ext uri="{FF2B5EF4-FFF2-40B4-BE49-F238E27FC236}">
              <a16:creationId xmlns:a16="http://schemas.microsoft.com/office/drawing/2014/main" id="{DF8C9023-533F-D643-B3F3-7AFF73066CE8}"/>
            </a:ext>
          </a:extLst>
        </xdr:cNvPr>
        <xdr:cNvSpPr txBox="1"/>
      </xdr:nvSpPr>
      <xdr:spPr>
        <a:xfrm>
          <a:off x="3302000" y="4869000"/>
          <a:ext cx="818444" cy="840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Drug Market Analysis</a:t>
          </a:r>
        </a:p>
      </xdr:txBody>
    </xdr:sp>
    <xdr:clientData/>
  </xdr:twoCellAnchor>
  <xdr:twoCellAnchor>
    <xdr:from>
      <xdr:col>7</xdr:col>
      <xdr:colOff>569355</xdr:colOff>
      <xdr:row>6</xdr:row>
      <xdr:rowOff>135671</xdr:rowOff>
    </xdr:from>
    <xdr:to>
      <xdr:col>9</xdr:col>
      <xdr:colOff>84702</xdr:colOff>
      <xdr:row>9</xdr:row>
      <xdr:rowOff>45236</xdr:rowOff>
    </xdr:to>
    <xdr:sp macro="" textlink="">
      <xdr:nvSpPr>
        <xdr:cNvPr id="42" name="TextBox 41">
          <a:extLst>
            <a:ext uri="{FF2B5EF4-FFF2-40B4-BE49-F238E27FC236}">
              <a16:creationId xmlns:a16="http://schemas.microsoft.com/office/drawing/2014/main" id="{89D55548-9277-F449-AB99-8C474B2DA863}"/>
            </a:ext>
          </a:extLst>
        </xdr:cNvPr>
        <xdr:cNvSpPr txBox="1"/>
      </xdr:nvSpPr>
      <xdr:spPr>
        <a:xfrm>
          <a:off x="6347855" y="2777271"/>
          <a:ext cx="1166347" cy="519165"/>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Favorable</a:t>
          </a:r>
          <a:r>
            <a:rPr lang="en-US" sz="1200" b="1" baseline="0">
              <a:solidFill>
                <a:schemeClr val="bg1"/>
              </a:solidFill>
            </a:rPr>
            <a:t> (76%)</a:t>
          </a:r>
        </a:p>
      </xdr:txBody>
    </xdr:sp>
    <xdr:clientData/>
  </xdr:twoCellAnchor>
  <xdr:twoCellAnchor>
    <xdr:from>
      <xdr:col>7</xdr:col>
      <xdr:colOff>560633</xdr:colOff>
      <xdr:row>11</xdr:row>
      <xdr:rowOff>90761</xdr:rowOff>
    </xdr:from>
    <xdr:to>
      <xdr:col>9</xdr:col>
      <xdr:colOff>26975</xdr:colOff>
      <xdr:row>14</xdr:row>
      <xdr:rowOff>13900</xdr:rowOff>
    </xdr:to>
    <xdr:sp macro="" textlink="">
      <xdr:nvSpPr>
        <xdr:cNvPr id="43" name="TextBox 42">
          <a:extLst>
            <a:ext uri="{FF2B5EF4-FFF2-40B4-BE49-F238E27FC236}">
              <a16:creationId xmlns:a16="http://schemas.microsoft.com/office/drawing/2014/main" id="{69A6C278-4824-A844-A0FC-823E6C34F4E7}"/>
            </a:ext>
          </a:extLst>
        </xdr:cNvPr>
        <xdr:cNvSpPr txBox="1"/>
      </xdr:nvSpPr>
      <xdr:spPr>
        <a:xfrm>
          <a:off x="6339133" y="3748361"/>
          <a:ext cx="1117342" cy="532739"/>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Unfavorable</a:t>
          </a:r>
          <a:r>
            <a:rPr lang="en-US" sz="1200" b="1" baseline="0">
              <a:solidFill>
                <a:schemeClr val="bg1"/>
              </a:solidFill>
            </a:rPr>
            <a:t> (24%)</a:t>
          </a:r>
        </a:p>
      </xdr:txBody>
    </xdr:sp>
    <xdr:clientData/>
  </xdr:twoCellAnchor>
  <xdr:twoCellAnchor>
    <xdr:from>
      <xdr:col>7</xdr:col>
      <xdr:colOff>554987</xdr:colOff>
      <xdr:row>15</xdr:row>
      <xdr:rowOff>78430</xdr:rowOff>
    </xdr:from>
    <xdr:to>
      <xdr:col>9</xdr:col>
      <xdr:colOff>3885</xdr:colOff>
      <xdr:row>18</xdr:row>
      <xdr:rowOff>24505</xdr:rowOff>
    </xdr:to>
    <xdr:sp macro="" textlink="">
      <xdr:nvSpPr>
        <xdr:cNvPr id="44" name="TextBox 43">
          <a:extLst>
            <a:ext uri="{FF2B5EF4-FFF2-40B4-BE49-F238E27FC236}">
              <a16:creationId xmlns:a16="http://schemas.microsoft.com/office/drawing/2014/main" id="{A29C19D0-0198-164F-9AAB-8907C0AD22DE}"/>
            </a:ext>
          </a:extLst>
        </xdr:cNvPr>
        <xdr:cNvSpPr txBox="1"/>
      </xdr:nvSpPr>
      <xdr:spPr>
        <a:xfrm>
          <a:off x="6333487" y="4548830"/>
          <a:ext cx="1099898" cy="555675"/>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Favorable</a:t>
          </a:r>
          <a:r>
            <a:rPr lang="en-US" sz="1200" b="1" baseline="0">
              <a:solidFill>
                <a:schemeClr val="bg1"/>
              </a:solidFill>
            </a:rPr>
            <a:t> (60%)</a:t>
          </a:r>
        </a:p>
      </xdr:txBody>
    </xdr:sp>
    <xdr:clientData/>
  </xdr:twoCellAnchor>
  <xdr:twoCellAnchor>
    <xdr:from>
      <xdr:col>7</xdr:col>
      <xdr:colOff>517528</xdr:colOff>
      <xdr:row>24</xdr:row>
      <xdr:rowOff>141707</xdr:rowOff>
    </xdr:from>
    <xdr:to>
      <xdr:col>9</xdr:col>
      <xdr:colOff>15430</xdr:colOff>
      <xdr:row>27</xdr:row>
      <xdr:rowOff>74442</xdr:rowOff>
    </xdr:to>
    <xdr:sp macro="" textlink="">
      <xdr:nvSpPr>
        <xdr:cNvPr id="45" name="TextBox 44">
          <a:extLst>
            <a:ext uri="{FF2B5EF4-FFF2-40B4-BE49-F238E27FC236}">
              <a16:creationId xmlns:a16="http://schemas.microsoft.com/office/drawing/2014/main" id="{5EA0E5E2-A859-EE47-8D99-E58E629F41E2}"/>
            </a:ext>
          </a:extLst>
        </xdr:cNvPr>
        <xdr:cNvSpPr txBox="1"/>
      </xdr:nvSpPr>
      <xdr:spPr>
        <a:xfrm>
          <a:off x="6296028" y="6440907"/>
          <a:ext cx="1148902" cy="542335"/>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Favorable</a:t>
          </a:r>
          <a:r>
            <a:rPr lang="en-US" sz="1200" b="1" baseline="0">
              <a:solidFill>
                <a:schemeClr val="bg1"/>
              </a:solidFill>
            </a:rPr>
            <a:t> (88%)</a:t>
          </a:r>
        </a:p>
      </xdr:txBody>
    </xdr:sp>
    <xdr:clientData/>
  </xdr:twoCellAnchor>
  <xdr:twoCellAnchor>
    <xdr:from>
      <xdr:col>7</xdr:col>
      <xdr:colOff>519678</xdr:colOff>
      <xdr:row>21</xdr:row>
      <xdr:rowOff>85304</xdr:rowOff>
    </xdr:from>
    <xdr:to>
      <xdr:col>9</xdr:col>
      <xdr:colOff>15430</xdr:colOff>
      <xdr:row>24</xdr:row>
      <xdr:rowOff>10346</xdr:rowOff>
    </xdr:to>
    <xdr:sp macro="" textlink="">
      <xdr:nvSpPr>
        <xdr:cNvPr id="46" name="TextBox 45">
          <a:extLst>
            <a:ext uri="{FF2B5EF4-FFF2-40B4-BE49-F238E27FC236}">
              <a16:creationId xmlns:a16="http://schemas.microsoft.com/office/drawing/2014/main" id="{A01F6DEE-A85E-E544-BFF1-9965D84D3340}"/>
            </a:ext>
          </a:extLst>
        </xdr:cNvPr>
        <xdr:cNvSpPr txBox="1"/>
      </xdr:nvSpPr>
      <xdr:spPr>
        <a:xfrm>
          <a:off x="6298178" y="5774904"/>
          <a:ext cx="1146752" cy="534642"/>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Unfavorable</a:t>
          </a:r>
          <a:r>
            <a:rPr lang="en-US" sz="1200" b="1" baseline="0">
              <a:solidFill>
                <a:schemeClr val="bg1"/>
              </a:solidFill>
            </a:rPr>
            <a:t> 40(%)</a:t>
          </a:r>
        </a:p>
      </xdr:txBody>
    </xdr:sp>
    <xdr:clientData/>
  </xdr:twoCellAnchor>
  <xdr:twoCellAnchor>
    <xdr:from>
      <xdr:col>7</xdr:col>
      <xdr:colOff>537797</xdr:colOff>
      <xdr:row>29</xdr:row>
      <xdr:rowOff>59826</xdr:rowOff>
    </xdr:from>
    <xdr:to>
      <xdr:col>8</xdr:col>
      <xdr:colOff>1039091</xdr:colOff>
      <xdr:row>31</xdr:row>
      <xdr:rowOff>164979</xdr:rowOff>
    </xdr:to>
    <xdr:sp macro="" textlink="">
      <xdr:nvSpPr>
        <xdr:cNvPr id="47" name="TextBox 46">
          <a:extLst>
            <a:ext uri="{FF2B5EF4-FFF2-40B4-BE49-F238E27FC236}">
              <a16:creationId xmlns:a16="http://schemas.microsoft.com/office/drawing/2014/main" id="{5F3E35F3-9F53-D346-A6AD-AF6978E1D746}"/>
            </a:ext>
          </a:extLst>
        </xdr:cNvPr>
        <xdr:cNvSpPr txBox="1"/>
      </xdr:nvSpPr>
      <xdr:spPr>
        <a:xfrm>
          <a:off x="6356706" y="6236644"/>
          <a:ext cx="1332567" cy="520790"/>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Unfavorable</a:t>
          </a:r>
          <a:r>
            <a:rPr lang="en-US" sz="1200" b="1" baseline="0">
              <a:solidFill>
                <a:schemeClr val="bg1"/>
              </a:solidFill>
            </a:rPr>
            <a:t> (12%)</a:t>
          </a:r>
        </a:p>
      </xdr:txBody>
    </xdr:sp>
    <xdr:clientData/>
  </xdr:twoCellAnchor>
  <xdr:twoCellAnchor>
    <xdr:from>
      <xdr:col>9</xdr:col>
      <xdr:colOff>200157</xdr:colOff>
      <xdr:row>15</xdr:row>
      <xdr:rowOff>58930</xdr:rowOff>
    </xdr:from>
    <xdr:to>
      <xdr:col>11</xdr:col>
      <xdr:colOff>154610</xdr:colOff>
      <xdr:row>17</xdr:row>
      <xdr:rowOff>169978</xdr:rowOff>
    </xdr:to>
    <xdr:sp macro="" textlink="">
      <xdr:nvSpPr>
        <xdr:cNvPr id="48" name="TextBox 47">
          <a:extLst>
            <a:ext uri="{FF2B5EF4-FFF2-40B4-BE49-F238E27FC236}">
              <a16:creationId xmlns:a16="http://schemas.microsoft.com/office/drawing/2014/main" id="{08C9F186-1940-8D4E-BE96-B686C9606081}"/>
            </a:ext>
          </a:extLst>
        </xdr:cNvPr>
        <xdr:cNvSpPr txBox="1"/>
      </xdr:nvSpPr>
      <xdr:spPr>
        <a:xfrm>
          <a:off x="7629657" y="4529330"/>
          <a:ext cx="1605453" cy="517448"/>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$5,269.46</a:t>
          </a:r>
        </a:p>
      </xdr:txBody>
    </xdr:sp>
    <xdr:clientData/>
  </xdr:twoCellAnchor>
  <xdr:twoCellAnchor>
    <xdr:from>
      <xdr:col>9</xdr:col>
      <xdr:colOff>246338</xdr:colOff>
      <xdr:row>21</xdr:row>
      <xdr:rowOff>39123</xdr:rowOff>
    </xdr:from>
    <xdr:to>
      <xdr:col>11</xdr:col>
      <xdr:colOff>143065</xdr:colOff>
      <xdr:row>23</xdr:row>
      <xdr:rowOff>193791</xdr:rowOff>
    </xdr:to>
    <xdr:sp macro="" textlink="">
      <xdr:nvSpPr>
        <xdr:cNvPr id="49" name="TextBox 48">
          <a:extLst>
            <a:ext uri="{FF2B5EF4-FFF2-40B4-BE49-F238E27FC236}">
              <a16:creationId xmlns:a16="http://schemas.microsoft.com/office/drawing/2014/main" id="{0BE0476D-604A-D145-A2EB-1DA40AFA5A45}"/>
            </a:ext>
          </a:extLst>
        </xdr:cNvPr>
        <xdr:cNvSpPr txBox="1"/>
      </xdr:nvSpPr>
      <xdr:spPr>
        <a:xfrm>
          <a:off x="7675838" y="5728723"/>
          <a:ext cx="1547727" cy="561068"/>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$1,770.86</a:t>
          </a:r>
        </a:p>
      </xdr:txBody>
    </xdr:sp>
    <xdr:clientData/>
  </xdr:twoCellAnchor>
  <xdr:twoCellAnchor>
    <xdr:from>
      <xdr:col>9</xdr:col>
      <xdr:colOff>234793</xdr:colOff>
      <xdr:row>29</xdr:row>
      <xdr:rowOff>48281</xdr:rowOff>
    </xdr:from>
    <xdr:to>
      <xdr:col>11</xdr:col>
      <xdr:colOff>148265</xdr:colOff>
      <xdr:row>31</xdr:row>
      <xdr:rowOff>188070</xdr:rowOff>
    </xdr:to>
    <xdr:sp macro="" textlink="">
      <xdr:nvSpPr>
        <xdr:cNvPr id="50" name="TextBox 49">
          <a:extLst>
            <a:ext uri="{FF2B5EF4-FFF2-40B4-BE49-F238E27FC236}">
              <a16:creationId xmlns:a16="http://schemas.microsoft.com/office/drawing/2014/main" id="{E05F5ECD-027E-6A41-9690-F7C17F6CE5FD}"/>
            </a:ext>
          </a:extLst>
        </xdr:cNvPr>
        <xdr:cNvSpPr txBox="1"/>
      </xdr:nvSpPr>
      <xdr:spPr>
        <a:xfrm>
          <a:off x="7664293" y="7363481"/>
          <a:ext cx="1564472" cy="546189"/>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$454.44</a:t>
          </a:r>
        </a:p>
      </xdr:txBody>
    </xdr:sp>
    <xdr:clientData/>
  </xdr:twoCellAnchor>
  <xdr:twoCellAnchor>
    <xdr:from>
      <xdr:col>11</xdr:col>
      <xdr:colOff>212335</xdr:colOff>
      <xdr:row>6</xdr:row>
      <xdr:rowOff>164917</xdr:rowOff>
    </xdr:from>
    <xdr:to>
      <xdr:col>12</xdr:col>
      <xdr:colOff>806926</xdr:colOff>
      <xdr:row>9</xdr:row>
      <xdr:rowOff>81903</xdr:rowOff>
    </xdr:to>
    <xdr:sp macro="" textlink="">
      <xdr:nvSpPr>
        <xdr:cNvPr id="51" name="TextBox 50">
          <a:extLst>
            <a:ext uri="{FF2B5EF4-FFF2-40B4-BE49-F238E27FC236}">
              <a16:creationId xmlns:a16="http://schemas.microsoft.com/office/drawing/2014/main" id="{10BED5D1-0F22-F945-8F86-E4678D401D51}"/>
            </a:ext>
          </a:extLst>
        </xdr:cNvPr>
        <xdr:cNvSpPr txBox="1"/>
      </xdr:nvSpPr>
      <xdr:spPr>
        <a:xfrm>
          <a:off x="9292835" y="2806517"/>
          <a:ext cx="1420091" cy="526586"/>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$2,566.43</a:t>
          </a:r>
        </a:p>
      </xdr:txBody>
    </xdr:sp>
    <xdr:clientData/>
  </xdr:twoCellAnchor>
  <xdr:twoCellAnchor>
    <xdr:from>
      <xdr:col>11</xdr:col>
      <xdr:colOff>270064</xdr:colOff>
      <xdr:row>15</xdr:row>
      <xdr:rowOff>52773</xdr:rowOff>
    </xdr:from>
    <xdr:to>
      <xdr:col>12</xdr:col>
      <xdr:colOff>806927</xdr:colOff>
      <xdr:row>17</xdr:row>
      <xdr:rowOff>169977</xdr:rowOff>
    </xdr:to>
    <xdr:sp macro="" textlink="">
      <xdr:nvSpPr>
        <xdr:cNvPr id="52" name="TextBox 51">
          <a:extLst>
            <a:ext uri="{FF2B5EF4-FFF2-40B4-BE49-F238E27FC236}">
              <a16:creationId xmlns:a16="http://schemas.microsoft.com/office/drawing/2014/main" id="{168CBD59-4814-934F-BC48-C883456EC274}"/>
            </a:ext>
          </a:extLst>
        </xdr:cNvPr>
        <xdr:cNvSpPr txBox="1"/>
      </xdr:nvSpPr>
      <xdr:spPr>
        <a:xfrm>
          <a:off x="9350564" y="4523173"/>
          <a:ext cx="1362363" cy="523604"/>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$3,161.68</a:t>
          </a:r>
        </a:p>
      </xdr:txBody>
    </xdr:sp>
    <xdr:clientData/>
  </xdr:twoCellAnchor>
  <xdr:twoCellAnchor>
    <xdr:from>
      <xdr:col>11</xdr:col>
      <xdr:colOff>270063</xdr:colOff>
      <xdr:row>24</xdr:row>
      <xdr:rowOff>91163</xdr:rowOff>
    </xdr:from>
    <xdr:to>
      <xdr:col>12</xdr:col>
      <xdr:colOff>822405</xdr:colOff>
      <xdr:row>27</xdr:row>
      <xdr:rowOff>62896</xdr:rowOff>
    </xdr:to>
    <xdr:sp macro="" textlink="">
      <xdr:nvSpPr>
        <xdr:cNvPr id="53" name="TextBox 52">
          <a:extLst>
            <a:ext uri="{FF2B5EF4-FFF2-40B4-BE49-F238E27FC236}">
              <a16:creationId xmlns:a16="http://schemas.microsoft.com/office/drawing/2014/main" id="{396C7A94-842C-8E45-8037-8E252D087758}"/>
            </a:ext>
          </a:extLst>
        </xdr:cNvPr>
        <xdr:cNvSpPr txBox="1"/>
      </xdr:nvSpPr>
      <xdr:spPr>
        <a:xfrm>
          <a:off x="9350563" y="6390363"/>
          <a:ext cx="1377842" cy="581333"/>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$813.86</a:t>
          </a:r>
        </a:p>
      </xdr:txBody>
    </xdr:sp>
    <xdr:clientData/>
  </xdr:twoCellAnchor>
  <xdr:twoCellAnchor>
    <xdr:from>
      <xdr:col>11</xdr:col>
      <xdr:colOff>258518</xdr:colOff>
      <xdr:row>11</xdr:row>
      <xdr:rowOff>44576</xdr:rowOff>
    </xdr:from>
    <xdr:to>
      <xdr:col>12</xdr:col>
      <xdr:colOff>819727</xdr:colOff>
      <xdr:row>14</xdr:row>
      <xdr:rowOff>2353</xdr:rowOff>
    </xdr:to>
    <xdr:sp macro="" textlink="">
      <xdr:nvSpPr>
        <xdr:cNvPr id="54" name="TextBox 53">
          <a:extLst>
            <a:ext uri="{FF2B5EF4-FFF2-40B4-BE49-F238E27FC236}">
              <a16:creationId xmlns:a16="http://schemas.microsoft.com/office/drawing/2014/main" id="{3ECCCCA5-F4E4-7045-92BF-9C21C6070E8D}"/>
            </a:ext>
          </a:extLst>
        </xdr:cNvPr>
        <xdr:cNvSpPr txBox="1"/>
      </xdr:nvSpPr>
      <xdr:spPr>
        <a:xfrm>
          <a:off x="9898973" y="2480667"/>
          <a:ext cx="1554118" cy="581231"/>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$196.66</a:t>
          </a:r>
        </a:p>
      </xdr:txBody>
    </xdr:sp>
    <xdr:clientData/>
  </xdr:twoCellAnchor>
  <xdr:twoCellAnchor>
    <xdr:from>
      <xdr:col>11</xdr:col>
      <xdr:colOff>281609</xdr:colOff>
      <xdr:row>21</xdr:row>
      <xdr:rowOff>27577</xdr:rowOff>
    </xdr:from>
    <xdr:to>
      <xdr:col>12</xdr:col>
      <xdr:colOff>806927</xdr:colOff>
      <xdr:row>23</xdr:row>
      <xdr:rowOff>187633</xdr:rowOff>
    </xdr:to>
    <xdr:sp macro="" textlink="">
      <xdr:nvSpPr>
        <xdr:cNvPr id="55" name="TextBox 54">
          <a:extLst>
            <a:ext uri="{FF2B5EF4-FFF2-40B4-BE49-F238E27FC236}">
              <a16:creationId xmlns:a16="http://schemas.microsoft.com/office/drawing/2014/main" id="{300B1539-7134-5A44-BDF4-47D4B2EBE3FE}"/>
            </a:ext>
          </a:extLst>
        </xdr:cNvPr>
        <xdr:cNvSpPr txBox="1"/>
      </xdr:nvSpPr>
      <xdr:spPr>
        <a:xfrm>
          <a:off x="9362109" y="5717177"/>
          <a:ext cx="1350818" cy="566456"/>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$708.34</a:t>
          </a:r>
        </a:p>
      </xdr:txBody>
    </xdr:sp>
    <xdr:clientData/>
  </xdr:twoCellAnchor>
  <xdr:twoCellAnchor>
    <xdr:from>
      <xdr:col>11</xdr:col>
      <xdr:colOff>186167</xdr:colOff>
      <xdr:row>29</xdr:row>
      <xdr:rowOff>48280</xdr:rowOff>
    </xdr:from>
    <xdr:to>
      <xdr:col>12</xdr:col>
      <xdr:colOff>822405</xdr:colOff>
      <xdr:row>31</xdr:row>
      <xdr:rowOff>188069</xdr:rowOff>
    </xdr:to>
    <xdr:sp macro="" textlink="">
      <xdr:nvSpPr>
        <xdr:cNvPr id="56" name="TextBox 55">
          <a:extLst>
            <a:ext uri="{FF2B5EF4-FFF2-40B4-BE49-F238E27FC236}">
              <a16:creationId xmlns:a16="http://schemas.microsoft.com/office/drawing/2014/main" id="{9C188155-7B9C-2A4F-9289-7BCF499871C0}"/>
            </a:ext>
          </a:extLst>
        </xdr:cNvPr>
        <xdr:cNvSpPr txBox="1"/>
      </xdr:nvSpPr>
      <xdr:spPr>
        <a:xfrm>
          <a:off x="9266667" y="7363480"/>
          <a:ext cx="1461738" cy="546189"/>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$54.53</a:t>
          </a:r>
        </a:p>
      </xdr:txBody>
    </xdr:sp>
    <xdr:clientData/>
  </xdr:twoCellAnchor>
  <xdr:twoCellAnchor>
    <xdr:from>
      <xdr:col>13</xdr:col>
      <xdr:colOff>654996</xdr:colOff>
      <xdr:row>8</xdr:row>
      <xdr:rowOff>109891</xdr:rowOff>
    </xdr:from>
    <xdr:to>
      <xdr:col>15</xdr:col>
      <xdr:colOff>540874</xdr:colOff>
      <xdr:row>11</xdr:row>
      <xdr:rowOff>138223</xdr:rowOff>
    </xdr:to>
    <xdr:sp macro="" textlink="">
      <xdr:nvSpPr>
        <xdr:cNvPr id="57" name="TextBox 56">
          <a:extLst>
            <a:ext uri="{FF2B5EF4-FFF2-40B4-BE49-F238E27FC236}">
              <a16:creationId xmlns:a16="http://schemas.microsoft.com/office/drawing/2014/main" id="{5CD83315-8B8B-2E47-8584-008D00B55C89}"/>
            </a:ext>
          </a:extLst>
        </xdr:cNvPr>
        <xdr:cNvSpPr txBox="1"/>
      </xdr:nvSpPr>
      <xdr:spPr>
        <a:xfrm>
          <a:off x="11386496" y="3157891"/>
          <a:ext cx="1536878" cy="63793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Final Earned Value (EV)</a:t>
          </a:r>
        </a:p>
        <a:p>
          <a:pPr algn="ctr"/>
          <a:r>
            <a:rPr lang="en-US" sz="1100" b="1"/>
            <a:t>$2,763.08</a:t>
          </a:r>
          <a:endParaRPr lang="en-US" sz="1100"/>
        </a:p>
      </xdr:txBody>
    </xdr:sp>
    <xdr:clientData/>
  </xdr:twoCellAnchor>
  <xdr:twoCellAnchor>
    <xdr:from>
      <xdr:col>13</xdr:col>
      <xdr:colOff>666543</xdr:colOff>
      <xdr:row>17</xdr:row>
      <xdr:rowOff>100702</xdr:rowOff>
    </xdr:from>
    <xdr:to>
      <xdr:col>15</xdr:col>
      <xdr:colOff>546648</xdr:colOff>
      <xdr:row>20</xdr:row>
      <xdr:rowOff>138789</xdr:rowOff>
    </xdr:to>
    <xdr:sp macro="" textlink="">
      <xdr:nvSpPr>
        <xdr:cNvPr id="58" name="TextBox 57">
          <a:extLst>
            <a:ext uri="{FF2B5EF4-FFF2-40B4-BE49-F238E27FC236}">
              <a16:creationId xmlns:a16="http://schemas.microsoft.com/office/drawing/2014/main" id="{2FDAC9BF-F4C5-384F-83FE-5A11C39F6CAA}"/>
            </a:ext>
          </a:extLst>
        </xdr:cNvPr>
        <xdr:cNvSpPr txBox="1"/>
      </xdr:nvSpPr>
      <xdr:spPr>
        <a:xfrm>
          <a:off x="11398043" y="4977502"/>
          <a:ext cx="1531105" cy="647687"/>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Final Earned Value (EV)</a:t>
          </a:r>
        </a:p>
        <a:p>
          <a:pPr algn="ctr"/>
          <a:r>
            <a:rPr lang="en-US" sz="1100" b="1"/>
            <a:t>$3,870.02</a:t>
          </a:r>
          <a:endParaRPr lang="en-US" sz="1100"/>
        </a:p>
      </xdr:txBody>
    </xdr:sp>
    <xdr:clientData/>
  </xdr:twoCellAnchor>
  <xdr:twoCellAnchor>
    <xdr:from>
      <xdr:col>13</xdr:col>
      <xdr:colOff>689633</xdr:colOff>
      <xdr:row>26</xdr:row>
      <xdr:rowOff>21613</xdr:rowOff>
    </xdr:from>
    <xdr:to>
      <xdr:col>15</xdr:col>
      <xdr:colOff>615919</xdr:colOff>
      <xdr:row>29</xdr:row>
      <xdr:rowOff>140645</xdr:rowOff>
    </xdr:to>
    <xdr:sp macro="" textlink="">
      <xdr:nvSpPr>
        <xdr:cNvPr id="59" name="TextBox 58">
          <a:extLst>
            <a:ext uri="{FF2B5EF4-FFF2-40B4-BE49-F238E27FC236}">
              <a16:creationId xmlns:a16="http://schemas.microsoft.com/office/drawing/2014/main" id="{9AD0FEA8-CD84-F547-847B-26313DD546CF}"/>
            </a:ext>
          </a:extLst>
        </xdr:cNvPr>
        <xdr:cNvSpPr txBox="1"/>
      </xdr:nvSpPr>
      <xdr:spPr>
        <a:xfrm>
          <a:off x="11421133" y="6727213"/>
          <a:ext cx="1577286" cy="72863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Final Earned Value (EV)</a:t>
          </a:r>
        </a:p>
        <a:p>
          <a:pPr algn="ctr"/>
          <a:r>
            <a:rPr lang="en-US" sz="1100" b="1"/>
            <a:t>$868.39</a:t>
          </a:r>
          <a:endParaRPr lang="en-US" sz="1100"/>
        </a:p>
      </xdr:txBody>
    </xdr:sp>
    <xdr:clientData/>
  </xdr:twoCellAnchor>
  <xdr:twoCellAnchor>
    <xdr:from>
      <xdr:col>9</xdr:col>
      <xdr:colOff>269428</xdr:colOff>
      <xdr:row>6</xdr:row>
      <xdr:rowOff>156194</xdr:rowOff>
    </xdr:from>
    <xdr:to>
      <xdr:col>11</xdr:col>
      <xdr:colOff>166154</xdr:colOff>
      <xdr:row>9</xdr:row>
      <xdr:rowOff>93447</xdr:rowOff>
    </xdr:to>
    <xdr:sp macro="" textlink="">
      <xdr:nvSpPr>
        <xdr:cNvPr id="60" name="TextBox 59">
          <a:extLst>
            <a:ext uri="{FF2B5EF4-FFF2-40B4-BE49-F238E27FC236}">
              <a16:creationId xmlns:a16="http://schemas.microsoft.com/office/drawing/2014/main" id="{C2A570E5-07FC-7547-A9F8-72B3BA814707}"/>
            </a:ext>
          </a:extLst>
        </xdr:cNvPr>
        <xdr:cNvSpPr txBox="1"/>
      </xdr:nvSpPr>
      <xdr:spPr>
        <a:xfrm>
          <a:off x="7698928" y="2797794"/>
          <a:ext cx="1547726" cy="546853"/>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$3,376.88</a:t>
          </a:r>
        </a:p>
      </xdr:txBody>
    </xdr:sp>
    <xdr:clientData/>
  </xdr:twoCellAnchor>
  <xdr:twoCellAnchor>
    <xdr:from>
      <xdr:col>9</xdr:col>
      <xdr:colOff>211703</xdr:colOff>
      <xdr:row>11</xdr:row>
      <xdr:rowOff>50733</xdr:rowOff>
    </xdr:from>
    <xdr:to>
      <xdr:col>11</xdr:col>
      <xdr:colOff>189244</xdr:colOff>
      <xdr:row>14</xdr:row>
      <xdr:rowOff>25444</xdr:rowOff>
    </xdr:to>
    <xdr:sp macro="" textlink="">
      <xdr:nvSpPr>
        <xdr:cNvPr id="61" name="TextBox 60">
          <a:extLst>
            <a:ext uri="{FF2B5EF4-FFF2-40B4-BE49-F238E27FC236}">
              <a16:creationId xmlns:a16="http://schemas.microsoft.com/office/drawing/2014/main" id="{789D5BAC-30B5-1249-97FC-A6E3B45F2EAE}"/>
            </a:ext>
          </a:extLst>
        </xdr:cNvPr>
        <xdr:cNvSpPr txBox="1"/>
      </xdr:nvSpPr>
      <xdr:spPr>
        <a:xfrm>
          <a:off x="7641203" y="3708333"/>
          <a:ext cx="1628541" cy="584311"/>
        </a:xfrm>
        <a:prstGeom prst="rect">
          <a:avLst/>
        </a:prstGeom>
        <a:solidFill>
          <a:srgbClr val="93A9C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$819.40</a:t>
          </a:r>
        </a:p>
      </xdr:txBody>
    </xdr:sp>
    <xdr:clientData/>
  </xdr:twoCellAnchor>
  <xdr:twoCellAnchor>
    <xdr:from>
      <xdr:col>9</xdr:col>
      <xdr:colOff>234793</xdr:colOff>
      <xdr:row>24</xdr:row>
      <xdr:rowOff>89880</xdr:rowOff>
    </xdr:from>
    <xdr:to>
      <xdr:col>11</xdr:col>
      <xdr:colOff>143064</xdr:colOff>
      <xdr:row>27</xdr:row>
      <xdr:rowOff>74441</xdr:rowOff>
    </xdr:to>
    <xdr:sp macro="" textlink="">
      <xdr:nvSpPr>
        <xdr:cNvPr id="62" name="TextBox 61">
          <a:extLst>
            <a:ext uri="{FF2B5EF4-FFF2-40B4-BE49-F238E27FC236}">
              <a16:creationId xmlns:a16="http://schemas.microsoft.com/office/drawing/2014/main" id="{A9C264A7-D403-564F-8544-99313FF4B63B}"/>
            </a:ext>
          </a:extLst>
        </xdr:cNvPr>
        <xdr:cNvSpPr txBox="1"/>
      </xdr:nvSpPr>
      <xdr:spPr>
        <a:xfrm>
          <a:off x="7664293" y="6389080"/>
          <a:ext cx="1559271" cy="594161"/>
        </a:xfrm>
        <a:prstGeom prst="rect">
          <a:avLst/>
        </a:prstGeom>
        <a:solidFill>
          <a:srgbClr val="4572A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$924.84</a:t>
          </a:r>
        </a:p>
      </xdr:txBody>
    </xdr:sp>
    <xdr:clientData/>
  </xdr:twoCellAnchor>
  <xdr:twoCellAnchor>
    <xdr:from>
      <xdr:col>7</xdr:col>
      <xdr:colOff>575127</xdr:colOff>
      <xdr:row>4</xdr:row>
      <xdr:rowOff>64089</xdr:rowOff>
    </xdr:from>
    <xdr:to>
      <xdr:col>9</xdr:col>
      <xdr:colOff>90474</xdr:colOff>
      <xdr:row>6</xdr:row>
      <xdr:rowOff>31382</xdr:rowOff>
    </xdr:to>
    <xdr:sp macro="" textlink="">
      <xdr:nvSpPr>
        <xdr:cNvPr id="63" name="TextBox 62">
          <a:extLst>
            <a:ext uri="{FF2B5EF4-FFF2-40B4-BE49-F238E27FC236}">
              <a16:creationId xmlns:a16="http://schemas.microsoft.com/office/drawing/2014/main" id="{8F4FC65C-1F5C-1C4C-A6F1-2F2866D5A752}"/>
            </a:ext>
          </a:extLst>
        </xdr:cNvPr>
        <xdr:cNvSpPr txBox="1"/>
      </xdr:nvSpPr>
      <xdr:spPr>
        <a:xfrm>
          <a:off x="6394036" y="895362"/>
          <a:ext cx="1397256" cy="5330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tx1"/>
              </a:solidFill>
            </a:rPr>
            <a:t>STATE -of-NATURE NOTES</a:t>
          </a:r>
        </a:p>
      </xdr:txBody>
    </xdr:sp>
    <xdr:clientData/>
  </xdr:twoCellAnchor>
  <xdr:twoCellAnchor>
    <xdr:from>
      <xdr:col>9</xdr:col>
      <xdr:colOff>288637</xdr:colOff>
      <xdr:row>4</xdr:row>
      <xdr:rowOff>66399</xdr:rowOff>
    </xdr:from>
    <xdr:to>
      <xdr:col>11</xdr:col>
      <xdr:colOff>150090</xdr:colOff>
      <xdr:row>6</xdr:row>
      <xdr:rowOff>33692</xdr:rowOff>
    </xdr:to>
    <xdr:sp macro="" textlink="">
      <xdr:nvSpPr>
        <xdr:cNvPr id="64" name="TextBox 63">
          <a:extLst>
            <a:ext uri="{FF2B5EF4-FFF2-40B4-BE49-F238E27FC236}">
              <a16:creationId xmlns:a16="http://schemas.microsoft.com/office/drawing/2014/main" id="{D4227D43-1F74-594F-BA37-DB53E0856F4D}"/>
            </a:ext>
          </a:extLst>
        </xdr:cNvPr>
        <xdr:cNvSpPr txBox="1"/>
      </xdr:nvSpPr>
      <xdr:spPr>
        <a:xfrm>
          <a:off x="7989455" y="897672"/>
          <a:ext cx="1801090" cy="5330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tx1"/>
              </a:solidFill>
            </a:rPr>
            <a:t>PAYOFF</a:t>
          </a:r>
        </a:p>
      </xdr:txBody>
    </xdr:sp>
    <xdr:clientData/>
  </xdr:twoCellAnchor>
  <xdr:twoCellAnchor>
    <xdr:from>
      <xdr:col>11</xdr:col>
      <xdr:colOff>230909</xdr:colOff>
      <xdr:row>4</xdr:row>
      <xdr:rowOff>103343</xdr:rowOff>
    </xdr:from>
    <xdr:to>
      <xdr:col>12</xdr:col>
      <xdr:colOff>796636</xdr:colOff>
      <xdr:row>6</xdr:row>
      <xdr:rowOff>70636</xdr:rowOff>
    </xdr:to>
    <xdr:sp macro="" textlink="">
      <xdr:nvSpPr>
        <xdr:cNvPr id="65" name="TextBox 64">
          <a:extLst>
            <a:ext uri="{FF2B5EF4-FFF2-40B4-BE49-F238E27FC236}">
              <a16:creationId xmlns:a16="http://schemas.microsoft.com/office/drawing/2014/main" id="{1FB7EDFD-2636-5247-9F38-A4956132C475}"/>
            </a:ext>
          </a:extLst>
        </xdr:cNvPr>
        <xdr:cNvSpPr txBox="1"/>
      </xdr:nvSpPr>
      <xdr:spPr>
        <a:xfrm>
          <a:off x="9871364" y="934616"/>
          <a:ext cx="1558636" cy="5330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tx1"/>
              </a:solidFill>
            </a:rPr>
            <a:t>EARNED VALUE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66E34-DBE8-CA42-AC0A-9176C4361A28}">
  <dimension ref="A1:K5"/>
  <sheetViews>
    <sheetView workbookViewId="0">
      <selection activeCell="H11" sqref="H11"/>
    </sheetView>
  </sheetViews>
  <sheetFormatPr baseColWidth="10" defaultRowHeight="16" x14ac:dyDescent="0.2"/>
  <cols>
    <col min="1" max="1" width="26.33203125" customWidth="1"/>
    <col min="2" max="2" width="14.83203125" customWidth="1"/>
    <col min="3" max="3" width="16.83203125" customWidth="1"/>
    <col min="4" max="4" width="15" customWidth="1"/>
    <col min="5" max="5" width="15.83203125" customWidth="1"/>
    <col min="6" max="6" width="15.1640625" customWidth="1"/>
    <col min="7" max="7" width="14.33203125" customWidth="1"/>
    <col min="8" max="8" width="16.83203125" customWidth="1"/>
    <col min="9" max="9" width="20.1640625" customWidth="1"/>
    <col min="10" max="10" width="15.1640625" customWidth="1"/>
    <col min="11" max="11" width="17.83203125" customWidth="1"/>
  </cols>
  <sheetData>
    <row r="1" spans="1:11" ht="60" customHeight="1" x14ac:dyDescent="0.2">
      <c r="A1" s="60" t="s">
        <v>13</v>
      </c>
      <c r="B1" s="60"/>
      <c r="C1" s="60"/>
      <c r="D1" s="60"/>
      <c r="E1" s="60"/>
      <c r="F1" s="60"/>
      <c r="G1" s="60"/>
      <c r="H1" s="60"/>
      <c r="I1" s="60"/>
      <c r="J1" s="60"/>
      <c r="K1" s="60"/>
    </row>
    <row r="2" spans="1:11" ht="68" x14ac:dyDescent="0.25">
      <c r="A2" s="1"/>
      <c r="B2" s="2" t="s">
        <v>0</v>
      </c>
      <c r="C2" s="2" t="s">
        <v>1</v>
      </c>
      <c r="D2" s="2" t="s">
        <v>2</v>
      </c>
      <c r="E2" s="2" t="s">
        <v>3</v>
      </c>
      <c r="F2" s="2" t="s">
        <v>4</v>
      </c>
      <c r="G2" s="2" t="s">
        <v>5</v>
      </c>
      <c r="H2" s="2" t="s">
        <v>6</v>
      </c>
      <c r="I2" s="2" t="s">
        <v>7</v>
      </c>
      <c r="J2" s="3" t="s">
        <v>8</v>
      </c>
      <c r="K2" s="3" t="s">
        <v>9</v>
      </c>
    </row>
    <row r="3" spans="1:11" ht="19" x14ac:dyDescent="0.25">
      <c r="A3" s="1" t="s">
        <v>10</v>
      </c>
      <c r="B3" s="4">
        <v>0.68</v>
      </c>
      <c r="C3" s="5">
        <v>4966</v>
      </c>
      <c r="D3" s="6">
        <v>0.76</v>
      </c>
      <c r="E3" s="7">
        <f>(C3*B3)</f>
        <v>3376.88</v>
      </c>
      <c r="F3" s="7">
        <f>(E3*D3)</f>
        <v>2566.4288000000001</v>
      </c>
      <c r="G3" s="8">
        <v>1205</v>
      </c>
      <c r="H3" s="6">
        <v>0.24</v>
      </c>
      <c r="I3" s="7">
        <f>(G3*B3)</f>
        <v>819.40000000000009</v>
      </c>
      <c r="J3" s="9">
        <f>(I3*H3)</f>
        <v>196.65600000000001</v>
      </c>
      <c r="K3" s="9">
        <f>(F3+J3)</f>
        <v>2763.0848000000001</v>
      </c>
    </row>
    <row r="4" spans="1:11" ht="19" x14ac:dyDescent="0.25">
      <c r="A4" s="1" t="s">
        <v>11</v>
      </c>
      <c r="B4" s="4">
        <v>0.98</v>
      </c>
      <c r="C4" s="5">
        <v>5377</v>
      </c>
      <c r="D4" s="6">
        <v>0.6</v>
      </c>
      <c r="E4" s="7">
        <f t="shared" ref="E4:E5" si="0">(C4*B4)</f>
        <v>5269.46</v>
      </c>
      <c r="F4" s="7">
        <f t="shared" ref="F4:F5" si="1">(E4*D4)</f>
        <v>3161.6759999999999</v>
      </c>
      <c r="G4" s="8">
        <v>1807</v>
      </c>
      <c r="H4" s="6">
        <v>0.4</v>
      </c>
      <c r="I4" s="7">
        <f t="shared" ref="I4:I5" si="2">(G4*B4)</f>
        <v>1770.86</v>
      </c>
      <c r="J4" s="9">
        <f t="shared" ref="J4:J5" si="3">(I4*H4)</f>
        <v>708.34400000000005</v>
      </c>
      <c r="K4" s="9">
        <f t="shared" ref="K4:K5" si="4">(F4+J4)</f>
        <v>3870.02</v>
      </c>
    </row>
    <row r="5" spans="1:11" ht="19" x14ac:dyDescent="0.25">
      <c r="A5" s="1" t="s">
        <v>12</v>
      </c>
      <c r="B5" s="4">
        <v>0.84</v>
      </c>
      <c r="C5" s="5">
        <v>1101</v>
      </c>
      <c r="D5" s="6">
        <v>0.88</v>
      </c>
      <c r="E5" s="7">
        <f t="shared" si="0"/>
        <v>924.83999999999992</v>
      </c>
      <c r="F5" s="7">
        <f t="shared" si="1"/>
        <v>813.85919999999999</v>
      </c>
      <c r="G5" s="8">
        <v>541</v>
      </c>
      <c r="H5" s="6">
        <v>0.12</v>
      </c>
      <c r="I5" s="7">
        <f t="shared" si="2"/>
        <v>454.44</v>
      </c>
      <c r="J5" s="9">
        <f t="shared" si="3"/>
        <v>54.532799999999995</v>
      </c>
      <c r="K5" s="9">
        <f t="shared" si="4"/>
        <v>868.39199999999994</v>
      </c>
    </row>
  </sheetData>
  <mergeCells count="1">
    <mergeCell ref="A1:K1"/>
  </mergeCell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A51CD-DFAB-194F-B9B6-F0F338627AE6}">
  <dimension ref="A1:H31"/>
  <sheetViews>
    <sheetView showGridLines="0" topLeftCell="A9" zoomScale="120" zoomScaleNormal="120" workbookViewId="0">
      <selection activeCell="A37" sqref="A37"/>
    </sheetView>
  </sheetViews>
  <sheetFormatPr baseColWidth="10" defaultRowHeight="16" x14ac:dyDescent="0.2"/>
  <cols>
    <col min="1" max="1" width="38.33203125" customWidth="1"/>
    <col min="2" max="2" width="31.5" customWidth="1"/>
    <col min="3" max="3" width="29" customWidth="1"/>
    <col min="4" max="4" width="28.83203125" customWidth="1"/>
    <col min="6" max="6" width="33.6640625" customWidth="1"/>
    <col min="8" max="8" width="22.83203125" customWidth="1"/>
  </cols>
  <sheetData>
    <row r="1" spans="1:8" ht="77" customHeight="1" thickBot="1" x14ac:dyDescent="0.25">
      <c r="A1" s="67" t="s">
        <v>20</v>
      </c>
      <c r="B1" s="67"/>
      <c r="C1" s="67"/>
      <c r="D1" s="67"/>
      <c r="E1" s="10"/>
    </row>
    <row r="2" spans="1:8" x14ac:dyDescent="0.2">
      <c r="A2" s="37" t="s">
        <v>14</v>
      </c>
      <c r="B2" s="38" t="s">
        <v>15</v>
      </c>
      <c r="C2" s="39" t="s">
        <v>16</v>
      </c>
      <c r="D2" s="68" t="s">
        <v>17</v>
      </c>
      <c r="E2" s="10"/>
    </row>
    <row r="3" spans="1:8" x14ac:dyDescent="0.2">
      <c r="A3" s="40" t="s">
        <v>18</v>
      </c>
      <c r="B3" s="35" t="s">
        <v>19</v>
      </c>
      <c r="C3" s="41">
        <v>0.76</v>
      </c>
      <c r="D3" s="64"/>
      <c r="E3" s="10"/>
    </row>
    <row r="4" spans="1:8" ht="19" x14ac:dyDescent="0.25">
      <c r="A4" s="40" t="s">
        <v>21</v>
      </c>
      <c r="B4" s="35" t="s">
        <v>19</v>
      </c>
      <c r="C4" s="42">
        <v>3376.88</v>
      </c>
      <c r="D4" s="64"/>
      <c r="E4" s="11"/>
    </row>
    <row r="5" spans="1:8" ht="6" customHeight="1" x14ac:dyDescent="0.25">
      <c r="A5" s="12"/>
      <c r="B5" s="13"/>
      <c r="C5" s="14"/>
      <c r="D5" s="64"/>
      <c r="E5" s="11"/>
    </row>
    <row r="6" spans="1:8" ht="19" x14ac:dyDescent="0.25">
      <c r="A6" s="47" t="s">
        <v>18</v>
      </c>
      <c r="B6" s="48" t="s">
        <v>22</v>
      </c>
      <c r="C6" s="49">
        <v>0.24</v>
      </c>
      <c r="D6" s="64"/>
      <c r="E6" s="11"/>
    </row>
    <row r="7" spans="1:8" ht="19" x14ac:dyDescent="0.25">
      <c r="A7" s="47" t="s">
        <v>21</v>
      </c>
      <c r="B7" s="48" t="s">
        <v>22</v>
      </c>
      <c r="C7" s="50">
        <v>819.4</v>
      </c>
      <c r="D7" s="64"/>
      <c r="E7" s="10"/>
      <c r="F7" s="11"/>
      <c r="G7" s="15"/>
      <c r="H7" s="10"/>
    </row>
    <row r="8" spans="1:8" ht="5" customHeight="1" thickBot="1" x14ac:dyDescent="0.25">
      <c r="A8" s="16"/>
      <c r="B8" s="17"/>
      <c r="C8" s="18"/>
      <c r="D8" s="65"/>
      <c r="E8" s="10"/>
      <c r="F8" s="10"/>
      <c r="G8" s="10"/>
      <c r="H8" s="10"/>
    </row>
    <row r="9" spans="1:8" x14ac:dyDescent="0.2">
      <c r="A9" s="52" t="s">
        <v>23</v>
      </c>
      <c r="B9" s="32" t="s">
        <v>19</v>
      </c>
      <c r="C9" s="14">
        <f>(C3*C4)</f>
        <v>2566.4288000000001</v>
      </c>
      <c r="D9" s="61">
        <f>(C9+C10)</f>
        <v>2763.0848000000001</v>
      </c>
      <c r="E9" s="10"/>
      <c r="F9" s="10"/>
      <c r="G9" s="10"/>
      <c r="H9" s="10"/>
    </row>
    <row r="10" spans="1:8" x14ac:dyDescent="0.2">
      <c r="A10" s="52" t="s">
        <v>23</v>
      </c>
      <c r="B10" s="33" t="s">
        <v>22</v>
      </c>
      <c r="C10" s="14">
        <f>(C6*C7)</f>
        <v>196.65599999999998</v>
      </c>
      <c r="D10" s="62"/>
      <c r="E10" s="19"/>
      <c r="F10" s="10"/>
      <c r="G10" s="10"/>
      <c r="H10" s="10"/>
    </row>
    <row r="11" spans="1:8" ht="3" customHeight="1" x14ac:dyDescent="0.2">
      <c r="A11" s="20"/>
      <c r="B11" s="21"/>
      <c r="C11" s="22"/>
      <c r="D11" s="23"/>
      <c r="E11" s="24"/>
      <c r="F11" s="19"/>
      <c r="G11" s="19"/>
      <c r="H11" s="19"/>
    </row>
    <row r="12" spans="1:8" x14ac:dyDescent="0.2">
      <c r="A12" s="45" t="s">
        <v>24</v>
      </c>
      <c r="B12" s="36" t="s">
        <v>15</v>
      </c>
      <c r="C12" s="46" t="s">
        <v>16</v>
      </c>
      <c r="D12" s="63" t="s">
        <v>17</v>
      </c>
      <c r="E12" s="25"/>
      <c r="F12" s="24"/>
      <c r="G12" s="24"/>
      <c r="H12" s="24"/>
    </row>
    <row r="13" spans="1:8" ht="19" x14ac:dyDescent="0.25">
      <c r="A13" s="43" t="s">
        <v>18</v>
      </c>
      <c r="B13" s="35" t="s">
        <v>19</v>
      </c>
      <c r="C13" s="41">
        <v>0.6</v>
      </c>
      <c r="D13" s="64"/>
      <c r="E13" s="11"/>
      <c r="F13" s="25"/>
      <c r="G13" s="10"/>
      <c r="H13" s="10"/>
    </row>
    <row r="14" spans="1:8" ht="19" x14ac:dyDescent="0.25">
      <c r="A14" s="43" t="s">
        <v>21</v>
      </c>
      <c r="B14" s="35" t="s">
        <v>19</v>
      </c>
      <c r="C14" s="44">
        <v>5269.46</v>
      </c>
      <c r="D14" s="64"/>
      <c r="E14" s="11"/>
      <c r="F14" s="11"/>
      <c r="G14" s="11"/>
      <c r="H14" s="11"/>
    </row>
    <row r="15" spans="1:8" ht="6" customHeight="1" x14ac:dyDescent="0.25">
      <c r="A15" s="26"/>
      <c r="B15" s="27"/>
      <c r="C15" s="28"/>
      <c r="D15" s="64"/>
      <c r="E15" s="11"/>
      <c r="F15" s="11"/>
      <c r="G15" s="11"/>
      <c r="H15" s="11"/>
    </row>
    <row r="16" spans="1:8" ht="19" x14ac:dyDescent="0.25">
      <c r="A16" s="51" t="s">
        <v>18</v>
      </c>
      <c r="B16" s="48" t="s">
        <v>22</v>
      </c>
      <c r="C16" s="49">
        <v>0.4</v>
      </c>
      <c r="D16" s="64"/>
      <c r="E16" s="10"/>
      <c r="F16" s="11"/>
      <c r="G16" s="11"/>
      <c r="H16" s="11"/>
    </row>
    <row r="17" spans="1:8" x14ac:dyDescent="0.2">
      <c r="A17" s="51" t="s">
        <v>21</v>
      </c>
      <c r="B17" s="48" t="s">
        <v>22</v>
      </c>
      <c r="C17" s="50">
        <v>1770.86</v>
      </c>
      <c r="D17" s="64"/>
      <c r="E17" s="10"/>
      <c r="F17" s="24"/>
      <c r="G17" s="24"/>
      <c r="H17" s="24"/>
    </row>
    <row r="18" spans="1:8" ht="6" customHeight="1" thickBot="1" x14ac:dyDescent="0.25">
      <c r="A18" s="29"/>
      <c r="B18" s="17"/>
      <c r="C18" s="18"/>
      <c r="D18" s="65"/>
      <c r="E18" s="10"/>
      <c r="F18" s="10"/>
      <c r="G18" s="10"/>
      <c r="H18" s="10"/>
    </row>
    <row r="19" spans="1:8" x14ac:dyDescent="0.2">
      <c r="A19" s="53" t="s">
        <v>23</v>
      </c>
      <c r="B19" s="13" t="s">
        <v>19</v>
      </c>
      <c r="C19" s="14">
        <f>(C13*C14)</f>
        <v>3161.6759999999999</v>
      </c>
      <c r="D19" s="61">
        <f>(C19+C20)</f>
        <v>3870.02</v>
      </c>
      <c r="E19" s="10"/>
      <c r="F19" s="10"/>
      <c r="G19" s="10"/>
      <c r="H19" s="10"/>
    </row>
    <row r="20" spans="1:8" x14ac:dyDescent="0.2">
      <c r="A20" s="53" t="s">
        <v>23</v>
      </c>
      <c r="B20" s="34" t="s">
        <v>22</v>
      </c>
      <c r="C20" s="14">
        <f>(C16*C17)</f>
        <v>708.34400000000005</v>
      </c>
      <c r="D20" s="62"/>
      <c r="E20" s="10"/>
      <c r="F20" s="10"/>
      <c r="G20" s="10"/>
      <c r="H20" s="10"/>
    </row>
    <row r="21" spans="1:8" ht="4" customHeight="1" x14ac:dyDescent="0.2">
      <c r="A21" s="20"/>
      <c r="B21" s="21"/>
      <c r="C21" s="22"/>
      <c r="D21" s="23"/>
      <c r="E21" s="10"/>
      <c r="F21" s="10"/>
      <c r="G21" s="10"/>
      <c r="H21" s="10"/>
    </row>
    <row r="22" spans="1:8" x14ac:dyDescent="0.2">
      <c r="A22" s="45" t="s">
        <v>25</v>
      </c>
      <c r="B22" s="36" t="s">
        <v>15</v>
      </c>
      <c r="C22" s="46" t="s">
        <v>16</v>
      </c>
      <c r="D22" s="63" t="s">
        <v>17</v>
      </c>
      <c r="E22" s="30"/>
      <c r="F22" s="10"/>
      <c r="G22" s="10"/>
      <c r="H22" s="10"/>
    </row>
    <row r="23" spans="1:8" x14ac:dyDescent="0.2">
      <c r="A23" s="43" t="s">
        <v>18</v>
      </c>
      <c r="B23" s="35" t="s">
        <v>19</v>
      </c>
      <c r="C23" s="41">
        <v>0.88</v>
      </c>
      <c r="D23" s="64"/>
      <c r="E23" s="10"/>
      <c r="F23" s="10"/>
      <c r="G23" s="10"/>
      <c r="H23" s="10"/>
    </row>
    <row r="24" spans="1:8" x14ac:dyDescent="0.2">
      <c r="A24" s="43" t="s">
        <v>21</v>
      </c>
      <c r="B24" s="35" t="s">
        <v>19</v>
      </c>
      <c r="C24" s="42">
        <v>924.84</v>
      </c>
      <c r="D24" s="64"/>
      <c r="E24" s="10"/>
      <c r="F24" s="10"/>
      <c r="G24" s="10"/>
      <c r="H24" s="10"/>
    </row>
    <row r="25" spans="1:8" ht="5" customHeight="1" x14ac:dyDescent="0.2">
      <c r="A25" s="26"/>
      <c r="B25" s="27"/>
      <c r="C25" s="31"/>
      <c r="D25" s="64"/>
      <c r="E25" s="10"/>
      <c r="F25" s="10"/>
      <c r="G25" s="10"/>
      <c r="H25" s="10"/>
    </row>
    <row r="26" spans="1:8" x14ac:dyDescent="0.2">
      <c r="A26" s="51" t="s">
        <v>18</v>
      </c>
      <c r="B26" s="48" t="s">
        <v>22</v>
      </c>
      <c r="C26" s="49">
        <v>0.12</v>
      </c>
      <c r="D26" s="64"/>
      <c r="E26" s="10"/>
      <c r="F26" s="10"/>
      <c r="G26" s="10"/>
      <c r="H26" s="10"/>
    </row>
    <row r="27" spans="1:8" x14ac:dyDescent="0.2">
      <c r="A27" s="51" t="s">
        <v>21</v>
      </c>
      <c r="B27" s="48" t="s">
        <v>22</v>
      </c>
      <c r="C27" s="50">
        <v>454.44</v>
      </c>
      <c r="D27" s="64"/>
      <c r="E27" s="10"/>
      <c r="F27" s="10"/>
      <c r="G27" s="10"/>
      <c r="H27" s="10"/>
    </row>
    <row r="28" spans="1:8" ht="7" customHeight="1" thickBot="1" x14ac:dyDescent="0.25">
      <c r="A28" s="29"/>
      <c r="B28" s="17"/>
      <c r="C28" s="18"/>
      <c r="D28" s="65"/>
      <c r="E28" s="10"/>
      <c r="F28" s="10"/>
      <c r="G28" s="10"/>
      <c r="H28" s="10"/>
    </row>
    <row r="29" spans="1:8" x14ac:dyDescent="0.2">
      <c r="A29" s="53" t="s">
        <v>23</v>
      </c>
      <c r="B29" s="13" t="s">
        <v>19</v>
      </c>
      <c r="C29" s="14">
        <f>(C23*C24)</f>
        <v>813.85919999999999</v>
      </c>
      <c r="D29" s="61">
        <f>(C29+C30)</f>
        <v>868.39199999999994</v>
      </c>
      <c r="E29" s="10"/>
      <c r="F29" s="10"/>
      <c r="G29" s="10"/>
      <c r="H29" s="10"/>
    </row>
    <row r="30" spans="1:8" ht="17" thickBot="1" x14ac:dyDescent="0.25">
      <c r="A30" s="54" t="s">
        <v>23</v>
      </c>
      <c r="B30" s="55" t="s">
        <v>22</v>
      </c>
      <c r="C30" s="56">
        <f>(C26*C27)</f>
        <v>54.532799999999995</v>
      </c>
      <c r="D30" s="66"/>
      <c r="E30" s="10"/>
      <c r="F30" s="10"/>
      <c r="G30" s="10"/>
      <c r="H30" s="10"/>
    </row>
    <row r="31" spans="1:8" x14ac:dyDescent="0.2">
      <c r="F31" s="10"/>
      <c r="G31" s="10"/>
      <c r="H31" s="10"/>
    </row>
  </sheetData>
  <mergeCells count="7">
    <mergeCell ref="D19:D20"/>
    <mergeCell ref="D22:D28"/>
    <mergeCell ref="D29:D30"/>
    <mergeCell ref="A1:D1"/>
    <mergeCell ref="D2:D8"/>
    <mergeCell ref="D9:D10"/>
    <mergeCell ref="D12:D18"/>
  </mergeCells>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28FE1-2C2C-3B4F-9E5F-3887842AF6A6}">
  <dimension ref="H5:M5"/>
  <sheetViews>
    <sheetView tabSelected="1" topLeftCell="A2" zoomScale="110" zoomScaleNormal="110" workbookViewId="0">
      <selection activeCell="T32" sqref="T32"/>
    </sheetView>
  </sheetViews>
  <sheetFormatPr baseColWidth="10" defaultRowHeight="16" x14ac:dyDescent="0.2"/>
  <cols>
    <col min="9" max="9" width="13.83203125" customWidth="1"/>
    <col min="10" max="10" width="10.83203125" customWidth="1"/>
    <col min="11" max="11" width="14.5" customWidth="1"/>
    <col min="12" max="12" width="13" customWidth="1"/>
    <col min="13" max="13" width="13.1640625" customWidth="1"/>
  </cols>
  <sheetData>
    <row r="5" spans="8:13" ht="28" customHeight="1" x14ac:dyDescent="0.2">
      <c r="H5" s="69"/>
      <c r="I5" s="69"/>
      <c r="J5" s="70"/>
      <c r="K5" s="70"/>
      <c r="L5" s="70"/>
      <c r="M5" s="70"/>
    </row>
  </sheetData>
  <mergeCells count="3">
    <mergeCell ref="H5:I5"/>
    <mergeCell ref="J5:K5"/>
    <mergeCell ref="L5:M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17BAE-3F88-9647-87BE-3DAB4E433130}">
  <dimension ref="A1:B2"/>
  <sheetViews>
    <sheetView workbookViewId="0">
      <selection activeCell="B2" sqref="B2"/>
    </sheetView>
  </sheetViews>
  <sheetFormatPr baseColWidth="10" defaultRowHeight="16" x14ac:dyDescent="0.2"/>
  <cols>
    <col min="1" max="1" width="36.83203125" customWidth="1"/>
    <col min="2" max="2" width="68.5" customWidth="1"/>
  </cols>
  <sheetData>
    <row r="1" spans="1:2" x14ac:dyDescent="0.2">
      <c r="A1" s="57" t="s">
        <v>26</v>
      </c>
    </row>
    <row r="2" spans="1:2" ht="170" x14ac:dyDescent="0.2">
      <c r="A2" s="59" t="s">
        <v>27</v>
      </c>
      <c r="B2" s="58" t="s">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Drug Line Values</vt:lpstr>
      <vt:lpstr>Expected Earned Value</vt:lpstr>
      <vt:lpstr>Decision Tree Analysis</vt:lpstr>
      <vt:lpstr>Data 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Lashawn Fofung</dc:creator>
  <cp:lastModifiedBy>Lashawn Fofung</cp:lastModifiedBy>
  <dcterms:created xsi:type="dcterms:W3CDTF">2025-06-12T07:42:20Z</dcterms:created>
  <dcterms:modified xsi:type="dcterms:W3CDTF">2025-06-12T09:36:18Z</dcterms:modified>
</cp:coreProperties>
</file>